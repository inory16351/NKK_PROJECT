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층별" sheetId="3" state="visible" r:id="rId3"/>
    <sheet xmlns:r="http://schemas.openxmlformats.org/officeDocument/2006/relationships" name="판_클릭" sheetId="4" state="visible" r:id="rId4"/>
    <sheet xmlns:r="http://schemas.openxmlformats.org/officeDocument/2006/relationships" name="판_미클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2" fillId="0" borderId="0" pivotButton="0" quotePrefix="0" xfId="0"/>
    <xf numFmtId="9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CE4B6"/>
        </patternFill>
      </fill>
    </dxf>
    <dxf>
      <fill>
        <patternFill patternType="solid">
          <fgColor rgb="00D7EF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50" customWidth="1" min="4" max="4"/>
    <col width="10" customWidth="1" min="5" max="5"/>
    <col width="16" customWidth="1" min="6" max="6"/>
    <col width="16" customWidth="1" min="7" max="7"/>
    <col width="20" customWidth="1" min="8" max="8"/>
    <col width="10" customWidth="1" min="9" max="9"/>
  </cols>
  <sheetData>
    <row r="1">
      <c r="A1" s="1" t="inlineStr">
        <is>
          <t>밸런스 시뮬레이터 설정 — 노란 칸을 고치고 저장한 뒤 python Tools/balance_sim_xlsx.py</t>
        </is>
      </c>
      <c r="Z1" t="inlineStr">
        <is>
          <t>v2</t>
        </is>
      </c>
    </row>
    <row r="2">
      <c r="A2" t="inlineStr">
        <is>
          <t>층별 시트는 엑셀 수식이라 바로 바뀜 · 요약/판 시트는 스크립트를 다시 돌려야 바뀜</t>
        </is>
      </c>
    </row>
    <row r="3">
      <c r="A3" s="2" t="inlineStr">
        <is>
          <t>항목</t>
        </is>
      </c>
      <c r="B3" s="2" t="inlineStr">
        <is>
          <t>키</t>
        </is>
      </c>
      <c r="C3" s="2" t="inlineStr">
        <is>
          <t>값</t>
        </is>
      </c>
      <c r="D3" s="2" t="inlineStr">
        <is>
          <t>설명</t>
        </is>
      </c>
    </row>
    <row r="4">
      <c r="A4" t="inlineStr">
        <is>
          <t>기본 제한시간 (초)</t>
        </is>
      </c>
      <c r="B4" t="inlineStr">
        <is>
          <t>BASE_TIME</t>
        </is>
      </c>
      <c r="C4" s="3" t="n">
        <v>120</v>
      </c>
      <c r="D4" t="inlineStr">
        <is>
          <t>RunTimer.baseTime</t>
        </is>
      </c>
    </row>
    <row r="5">
      <c r="A5" t="inlineStr">
        <is>
          <t>시간 배율 C</t>
        </is>
      </c>
      <c r="B5" t="inlineStr">
        <is>
          <t>TIME_C</t>
        </is>
      </c>
      <c r="C5" s="3" t="n">
        <v>0.8</v>
      </c>
      <c r="D5" t="inlineStr">
        <is>
          <t>층 시간 = 목표 초 × C × r^-지수 (r = 전투력 ÷ 적정)</t>
        </is>
      </c>
    </row>
    <row r="6">
      <c r="A6" t="inlineStr">
        <is>
          <t>r&lt;1 지수</t>
        </is>
      </c>
      <c r="B6" t="inlineStr">
        <is>
          <t>TIME_LO</t>
        </is>
      </c>
      <c r="C6" s="3" t="n">
        <v>1.5</v>
      </c>
      <c r="D6" t="inlineStr">
        <is>
          <t>전투력이 모자랄 때 느려지는 정도</t>
        </is>
      </c>
    </row>
    <row r="7">
      <c r="A7" t="inlineStr">
        <is>
          <t>r≥1 지수</t>
        </is>
      </c>
      <c r="B7" t="inlineStr">
        <is>
          <t>TIME_HI</t>
        </is>
      </c>
      <c r="C7" s="3" t="n">
        <v>0.5</v>
      </c>
      <c r="D7" t="inlineStr">
        <is>
          <t>전투력이 넘칠 때 빨라지는 정도</t>
        </is>
      </c>
    </row>
    <row r="8">
      <c r="A8" t="inlineStr">
        <is>
          <t>클릭 거의 안 함: 층 시간 배율</t>
        </is>
      </c>
      <c r="B8" t="inlineStr">
        <is>
          <t>PASSIVE_SLOW</t>
        </is>
      </c>
      <c r="C8" s="3" t="n">
        <v>1.35</v>
      </c>
      <c r="D8" t="inlineStr">
        <is>
          <t>같은 상태에서 몇 배 느린지 (측정 필요 — 지금은 가정)</t>
        </is>
      </c>
    </row>
    <row r="9">
      <c r="A9" t="inlineStr">
        <is>
          <t>층 사이 연출 (초)</t>
        </is>
      </c>
      <c r="B9" t="inlineStr">
        <is>
          <t>FLOOR_OVERHEAD</t>
        </is>
      </c>
      <c r="C9" s="3" t="n">
        <v>6</v>
      </c>
      <c r="D9" t="inlineStr"/>
    </row>
    <row r="10">
      <c r="A10" t="inlineStr">
        <is>
          <t>판마다 로비 시간 (초)</t>
        </is>
      </c>
      <c r="B10" t="inlineStr">
        <is>
          <t>RUN_OVERHEAD</t>
        </is>
      </c>
      <c r="C10" s="3" t="n">
        <v>75</v>
      </c>
      <c r="D10" t="inlineStr"/>
    </row>
    <row r="11">
      <c r="A11" t="inlineStr">
        <is>
          <t>판 첫 층 손해 (초)</t>
        </is>
      </c>
      <c r="B11" t="inlineStr">
        <is>
          <t>RAMP_SEC</t>
        </is>
      </c>
      <c r="C11" s="3" t="n">
        <v>25</v>
      </c>
      <c r="D11" t="inlineStr">
        <is>
          <t>쥐가 불어나는 동안</t>
        </is>
      </c>
    </row>
    <row r="12">
      <c r="A12" t="inlineStr">
        <is>
          <t>16층~ 훈장·트리에 쓰는 수입 몫</t>
        </is>
      </c>
      <c r="B12" t="inlineStr">
        <is>
          <t>LATE_SHARE</t>
        </is>
      </c>
      <c r="C12" s="3" t="n">
        <v>0.5</v>
      </c>
      <c r="D12" t="inlineStr">
        <is>
          <t>나머지 = 뽑기·상점·증강 강화</t>
        </is>
      </c>
    </row>
    <row r="13">
      <c r="A13" t="inlineStr">
        <is>
          <t>층당 출생 ÷ 최대 마릿수</t>
        </is>
      </c>
      <c r="B13" t="inlineStr">
        <is>
          <t>BIRTH_PER_POP</t>
        </is>
      </c>
      <c r="C13" s="3" t="n">
        <v>1</v>
      </c>
      <c r="D13" t="inlineStr">
        <is>
          <t>조각 = 태어난 종 +1 (조각 합·도감 조건). 레벨업 조각 = 쥐 등급 테이블 shard_k</t>
        </is>
      </c>
    </row>
    <row r="14">
      <c r="A14" t="inlineStr">
        <is>
          <t>증강 1칸당 전투력 +</t>
        </is>
      </c>
      <c r="B14" t="inlineStr">
        <is>
          <t>AUG_PER_SLOT</t>
        </is>
      </c>
      <c r="C14" s="3" t="n">
        <v>0.08</v>
      </c>
      <c r="D14" t="inlineStr">
        <is>
          <t>31층~ (gen_stage_table 과 같게)</t>
        </is>
      </c>
    </row>
    <row r="15">
      <c r="A15" t="inlineStr">
        <is>
          <t>시뮬 최대 시간 (h)</t>
        </is>
      </c>
      <c r="B15" t="inlineStr">
        <is>
          <t>HOURS_CAP</t>
        </is>
      </c>
      <c r="C15" s="3" t="n">
        <v>60</v>
      </c>
      <c r="D15" t="inlineStr">
        <is>
          <t>못 깨면 여기서 멈춤</t>
        </is>
      </c>
    </row>
    <row r="16">
      <c r="A16" t="inlineStr">
        <is>
          <t>목표: 클릭 적극 (h)</t>
        </is>
      </c>
      <c r="B16" t="inlineStr">
        <is>
          <t>GOAL_ACTIVE</t>
        </is>
      </c>
      <c r="C16" s="3" t="n">
        <v>10</v>
      </c>
      <c r="D16" t="inlineStr">
        <is>
          <t>사용자 2026-10-19</t>
        </is>
      </c>
    </row>
    <row r="17">
      <c r="A17" t="inlineStr">
        <is>
          <t>목표: 거의 안 함 (h)</t>
        </is>
      </c>
      <c r="B17" t="inlineStr">
        <is>
          <t>GOAL_PASSIVE</t>
        </is>
      </c>
      <c r="C17" s="3" t="n">
        <v>15</v>
      </c>
      <c r="D17" t="inlineStr"/>
    </row>
    <row r="20">
      <c r="A20" s="4" t="inlineStr">
        <is>
          <t>훈장별 (전투력 = BalanceProbe 측정 Tools/probe_results/power_by_tier.json · 추가 비용 배율 = 테이블 비용에 더 곱함, 1 = 그대로)</t>
        </is>
      </c>
    </row>
    <row r="21">
      <c r="A21" s="2" t="inlineStr">
        <is>
          <t>훈장</t>
        </is>
      </c>
      <c r="B21" s="2" t="inlineStr">
        <is>
          <t>시작 전투력</t>
        </is>
      </c>
      <c r="C21" s="2" t="inlineStr">
        <is>
          <t>끝 전투력</t>
        </is>
      </c>
      <c r="D21" s="2" t="inlineStr">
        <is>
          <t>추가 비용 배율</t>
        </is>
      </c>
      <c r="E21" s="2" t="inlineStr">
        <is>
          <t>증강 슬롯</t>
        </is>
      </c>
      <c r="F21" s="2" t="inlineStr">
        <is>
          <t>제한시간 + (누적)</t>
        </is>
      </c>
      <c r="G21" s="2" t="inlineStr">
        <is>
          <t>보스 층 + (누적)</t>
        </is>
      </c>
      <c r="H21" s="2" t="inlineStr">
        <is>
          <t>승급 연구자료 (테이블)</t>
        </is>
      </c>
      <c r="I21" s="2" t="inlineStr">
        <is>
          <t>조건 층</t>
        </is>
      </c>
      <c r="J21" s="2" t="inlineStr">
        <is>
          <t>최대 마릿수</t>
        </is>
      </c>
    </row>
    <row r="22">
      <c r="A22" t="n">
        <v>1</v>
      </c>
      <c r="B22" s="5" t="n">
        <v>500</v>
      </c>
      <c r="C22" s="5" t="n">
        <v>1500</v>
      </c>
      <c r="D22" s="3" t="n">
        <v>1</v>
      </c>
      <c r="E22" s="3" t="n">
        <v>5</v>
      </c>
      <c r="F22" t="n">
        <v>4</v>
      </c>
      <c r="G22" t="n">
        <v>4</v>
      </c>
      <c r="H22" s="6" t="n">
        <v>0</v>
      </c>
      <c r="I22" t="n">
        <v>0</v>
      </c>
      <c r="J22" s="3" t="n">
        <v>40</v>
      </c>
    </row>
    <row r="23">
      <c r="A23" t="n">
        <v>2</v>
      </c>
      <c r="B23" s="5" t="n">
        <v>1575</v>
      </c>
      <c r="C23" s="5" t="n">
        <v>2900</v>
      </c>
      <c r="D23" s="3" t="n">
        <v>1</v>
      </c>
      <c r="E23" s="3" t="n">
        <v>5</v>
      </c>
      <c r="F23" t="n">
        <v>8</v>
      </c>
      <c r="G23" t="n">
        <v>8</v>
      </c>
      <c r="H23" s="6" t="n">
        <v>220</v>
      </c>
      <c r="I23" t="n">
        <v>6</v>
      </c>
      <c r="J23" s="3" t="n">
        <v>50</v>
      </c>
    </row>
    <row r="24">
      <c r="A24" t="n">
        <v>3</v>
      </c>
      <c r="B24" s="5" t="n">
        <v>3045</v>
      </c>
      <c r="C24" s="5" t="n">
        <v>5500</v>
      </c>
      <c r="D24" s="3" t="n">
        <v>1</v>
      </c>
      <c r="E24" s="3" t="n">
        <v>5</v>
      </c>
      <c r="F24" t="n">
        <v>14</v>
      </c>
      <c r="G24" t="n">
        <v>12</v>
      </c>
      <c r="H24" s="6" t="n">
        <v>210</v>
      </c>
      <c r="I24" t="n">
        <v>9</v>
      </c>
      <c r="J24" s="3" t="n">
        <v>65</v>
      </c>
    </row>
    <row r="25">
      <c r="A25" t="n">
        <v>4</v>
      </c>
      <c r="B25" s="5" t="n">
        <v>5775</v>
      </c>
      <c r="C25" s="5" t="n">
        <v>10900</v>
      </c>
      <c r="D25" s="3" t="n">
        <v>1</v>
      </c>
      <c r="E25" s="3" t="n">
        <v>5</v>
      </c>
      <c r="F25" t="n">
        <v>22</v>
      </c>
      <c r="G25" t="n">
        <v>16</v>
      </c>
      <c r="H25" s="6" t="n">
        <v>260</v>
      </c>
      <c r="I25" t="n">
        <v>11</v>
      </c>
      <c r="J25" s="3" t="n">
        <v>80</v>
      </c>
    </row>
    <row r="26">
      <c r="A26" t="n">
        <v>5</v>
      </c>
      <c r="B26" s="5" t="n">
        <v>11445</v>
      </c>
      <c r="C26" s="5" t="n">
        <v>26200</v>
      </c>
      <c r="D26" s="3" t="n">
        <v>1</v>
      </c>
      <c r="E26" s="3" t="n">
        <v>5</v>
      </c>
      <c r="F26" t="n">
        <v>30</v>
      </c>
      <c r="G26" t="n">
        <v>20</v>
      </c>
      <c r="H26" s="6" t="n">
        <v>560</v>
      </c>
      <c r="I26" t="n">
        <v>14</v>
      </c>
      <c r="J26" s="3" t="n">
        <v>96</v>
      </c>
    </row>
    <row r="27">
      <c r="A27" t="n">
        <v>6</v>
      </c>
      <c r="B27" s="5" t="n">
        <v>27510</v>
      </c>
      <c r="C27" s="5" t="n">
        <v>57700</v>
      </c>
      <c r="D27" s="3" t="n">
        <v>1</v>
      </c>
      <c r="E27" s="3" t="n">
        <v>5</v>
      </c>
      <c r="F27" t="n">
        <v>38</v>
      </c>
      <c r="G27" t="n">
        <v>24</v>
      </c>
      <c r="H27" s="6" t="n">
        <v>770</v>
      </c>
      <c r="I27" t="n">
        <v>16</v>
      </c>
      <c r="J27" s="3" t="n">
        <v>102</v>
      </c>
    </row>
    <row r="28">
      <c r="A28" t="n">
        <v>7</v>
      </c>
      <c r="B28" s="5" t="n">
        <v>60585</v>
      </c>
      <c r="C28" s="5" t="n">
        <v>217000</v>
      </c>
      <c r="D28" s="3" t="n">
        <v>1</v>
      </c>
      <c r="E28" s="3" t="n">
        <v>5</v>
      </c>
      <c r="F28" t="n">
        <v>48</v>
      </c>
      <c r="G28" t="n">
        <v>27</v>
      </c>
      <c r="H28" s="6" t="n">
        <v>2420</v>
      </c>
      <c r="I28" t="n">
        <v>18</v>
      </c>
      <c r="J28" s="3" t="n">
        <v>141</v>
      </c>
    </row>
    <row r="29">
      <c r="A29" t="n">
        <v>8</v>
      </c>
      <c r="B29" s="5" t="n">
        <v>227850</v>
      </c>
      <c r="C29" s="5" t="n">
        <v>400000</v>
      </c>
      <c r="D29" s="3" t="n">
        <v>1</v>
      </c>
      <c r="E29" s="3" t="n">
        <v>5</v>
      </c>
      <c r="F29" t="n">
        <v>60</v>
      </c>
      <c r="G29" t="n">
        <v>30</v>
      </c>
      <c r="H29" s="6" t="n">
        <v>9920</v>
      </c>
      <c r="I29" t="n">
        <v>20</v>
      </c>
      <c r="J29" s="3" t="n">
        <v>155</v>
      </c>
    </row>
    <row r="30">
      <c r="A30" t="n">
        <v>9</v>
      </c>
      <c r="B30" s="5" t="n">
        <v>420000</v>
      </c>
      <c r="C30" s="5" t="n">
        <v>560000</v>
      </c>
      <c r="D30" s="3" t="n">
        <v>1</v>
      </c>
      <c r="E30" s="3" t="n">
        <v>5</v>
      </c>
      <c r="F30" t="n">
        <v>60</v>
      </c>
      <c r="G30" t="n">
        <v>33</v>
      </c>
      <c r="H30" s="6" t="n">
        <v>42000</v>
      </c>
      <c r="I30" t="n">
        <v>31</v>
      </c>
      <c r="J30" s="3" t="n">
        <v>180</v>
      </c>
    </row>
    <row r="31">
      <c r="A31" t="n">
        <v>10</v>
      </c>
      <c r="B31" s="5" t="n">
        <v>588000</v>
      </c>
      <c r="C31" s="5" t="n">
        <v>2100000</v>
      </c>
      <c r="D31" s="3" t="n">
        <v>1</v>
      </c>
      <c r="E31" s="3" t="n">
        <v>6</v>
      </c>
      <c r="F31" t="n">
        <v>60</v>
      </c>
      <c r="G31" t="n">
        <v>36</v>
      </c>
      <c r="H31" s="6" t="n">
        <v>87000</v>
      </c>
      <c r="I31" t="n">
        <v>41</v>
      </c>
      <c r="J31" s="3" t="n">
        <v>210</v>
      </c>
    </row>
    <row r="32">
      <c r="A32" t="n">
        <v>11</v>
      </c>
      <c r="B32" s="5" t="n">
        <v>2205000</v>
      </c>
      <c r="C32" s="5" t="n">
        <v>4670000</v>
      </c>
      <c r="D32" s="3" t="n">
        <v>1</v>
      </c>
      <c r="E32" s="3" t="n">
        <v>6</v>
      </c>
      <c r="F32" t="n">
        <v>60</v>
      </c>
      <c r="G32" t="n">
        <v>39</v>
      </c>
      <c r="H32" s="6" t="n">
        <v>328000</v>
      </c>
      <c r="I32" t="n">
        <v>51</v>
      </c>
      <c r="J32" s="3" t="n">
        <v>250</v>
      </c>
    </row>
    <row r="33">
      <c r="A33" t="n">
        <v>12</v>
      </c>
      <c r="B33" s="5" t="n">
        <v>4903500</v>
      </c>
      <c r="C33" s="5" t="n">
        <v>11600000</v>
      </c>
      <c r="D33" s="3" t="n">
        <v>1</v>
      </c>
      <c r="E33" s="3" t="n">
        <v>7</v>
      </c>
      <c r="F33" t="n">
        <v>60</v>
      </c>
      <c r="G33" t="n">
        <v>42</v>
      </c>
      <c r="H33" s="6" t="n">
        <v>742000</v>
      </c>
      <c r="I33" t="n">
        <v>61</v>
      </c>
      <c r="J33" s="3" t="n">
        <v>295</v>
      </c>
    </row>
    <row r="34">
      <c r="A34" t="n">
        <v>13</v>
      </c>
      <c r="B34" s="5" t="n">
        <v>12180000</v>
      </c>
      <c r="C34" s="5" t="n">
        <v>20800000</v>
      </c>
      <c r="D34" s="3" t="n">
        <v>1</v>
      </c>
      <c r="E34" s="3" t="n">
        <v>7</v>
      </c>
      <c r="F34" t="n">
        <v>60</v>
      </c>
      <c r="G34" t="n">
        <v>45</v>
      </c>
      <c r="H34" s="6" t="n">
        <v>1872000</v>
      </c>
      <c r="I34" t="n">
        <v>71</v>
      </c>
      <c r="J34" s="3" t="n">
        <v>345</v>
      </c>
    </row>
    <row r="35">
      <c r="A35" t="n">
        <v>14</v>
      </c>
      <c r="B35" s="5" t="n">
        <v>21840000</v>
      </c>
      <c r="C35" s="5" t="n">
        <v>31300000</v>
      </c>
      <c r="D35" s="3" t="n">
        <v>1</v>
      </c>
      <c r="E35" s="3" t="n">
        <v>7</v>
      </c>
      <c r="F35" t="n">
        <v>60</v>
      </c>
      <c r="G35" t="n">
        <v>48</v>
      </c>
      <c r="H35" s="6" t="n">
        <v>3299000</v>
      </c>
      <c r="I35" t="n">
        <v>81</v>
      </c>
      <c r="J35" s="3" t="n">
        <v>400</v>
      </c>
    </row>
    <row r="36">
      <c r="A36" t="n">
        <v>15</v>
      </c>
      <c r="B36" s="5" t="n">
        <v>32865000</v>
      </c>
      <c r="C36" s="5" t="n">
        <v>45800000</v>
      </c>
      <c r="D36" s="3" t="n">
        <v>1</v>
      </c>
      <c r="E36" s="3" t="n">
        <v>7</v>
      </c>
      <c r="F36" t="n">
        <v>60</v>
      </c>
      <c r="G36" t="n">
        <v>51</v>
      </c>
      <c r="H36" s="6" t="n">
        <v>4945000</v>
      </c>
      <c r="I36" t="n">
        <v>91</v>
      </c>
      <c r="J36" s="3" t="n">
        <v>460</v>
      </c>
    </row>
    <row r="37">
      <c r="A37" t="n">
        <v>16</v>
      </c>
      <c r="B37" s="5" t="n">
        <v>48090000</v>
      </c>
      <c r="C37" s="5" t="n">
        <v>64000000</v>
      </c>
      <c r="D37" s="3" t="n">
        <v>1</v>
      </c>
      <c r="E37" s="3" t="n">
        <v>8</v>
      </c>
      <c r="F37" t="n">
        <v>60</v>
      </c>
      <c r="G37" t="n">
        <v>54</v>
      </c>
      <c r="H37" s="6" t="n">
        <v>11154000</v>
      </c>
      <c r="I37" t="n">
        <v>100</v>
      </c>
      <c r="J37" s="3" t="n">
        <v>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시뮬레이션 결과 (이 시트는 스크립트가 덮어씀)</t>
        </is>
      </c>
    </row>
    <row r="3">
      <c r="A3" s="2" t="inlineStr"/>
      <c r="B3" s="2" t="inlineStr">
        <is>
          <t>클릭 적극</t>
        </is>
      </c>
      <c r="C3" s="2" t="inlineStr">
        <is>
          <t>거의 안 함</t>
        </is>
      </c>
    </row>
    <row r="4">
      <c r="A4" t="inlineStr">
        <is>
          <t>총 시간 (h)</t>
        </is>
      </c>
      <c r="B4" t="n">
        <v>10.79</v>
      </c>
      <c r="C4" t="n">
        <v>14.52</v>
      </c>
    </row>
    <row r="5">
      <c r="A5" t="inlineStr">
        <is>
          <t>목표 (h)</t>
        </is>
      </c>
      <c r="B5" t="n">
        <v>10</v>
      </c>
      <c r="C5" t="n">
        <v>15</v>
      </c>
    </row>
    <row r="6">
      <c r="A6" t="inlineStr">
        <is>
          <t>판 수</t>
        </is>
      </c>
      <c r="B6" t="n">
        <v>41</v>
      </c>
      <c r="C6" t="n">
        <v>53</v>
      </c>
    </row>
    <row r="7">
      <c r="A7" t="inlineStr">
        <is>
          <t>판 평균 (분)</t>
        </is>
      </c>
      <c r="B7" t="n">
        <v>15.79</v>
      </c>
      <c r="C7" t="n">
        <v>16.43</v>
      </c>
    </row>
    <row r="8">
      <c r="A8" t="inlineStr">
        <is>
          <t>최고 층</t>
        </is>
      </c>
      <c r="B8" t="n">
        <v>100</v>
      </c>
      <c r="C8" t="n">
        <v>100</v>
      </c>
    </row>
    <row r="9">
      <c r="A9" t="inlineStr">
        <is>
          <t>마지막 훈장</t>
        </is>
      </c>
      <c r="B9" t="n">
        <v>15</v>
      </c>
      <c r="C9" t="n">
        <v>15</v>
      </c>
    </row>
    <row r="10">
      <c r="A10" t="inlineStr">
        <is>
          <t>16층 클리어 (h)</t>
        </is>
      </c>
      <c r="B10" t="n">
        <v>2.15</v>
      </c>
      <c r="C10" t="n">
        <v>2.57</v>
      </c>
    </row>
    <row r="11">
      <c r="A11" t="inlineStr">
        <is>
          <t>30층 클리어 (h)</t>
        </is>
      </c>
      <c r="B11" t="n">
        <v>4.17</v>
      </c>
      <c r="C11" t="n">
        <v>6.36</v>
      </c>
    </row>
    <row r="12">
      <c r="A12" t="inlineStr">
        <is>
          <t>31층 클리어 (h)</t>
        </is>
      </c>
      <c r="B12" t="n">
        <v>4.17</v>
      </c>
      <c r="C12" t="n">
        <v>6.36</v>
      </c>
    </row>
    <row r="13">
      <c r="A13" t="inlineStr">
        <is>
          <t>41층 클리어 (h)</t>
        </is>
      </c>
      <c r="B13" t="n">
        <v>4.71</v>
      </c>
      <c r="C13" t="n">
        <v>7.28</v>
      </c>
    </row>
    <row r="14">
      <c r="A14" t="inlineStr">
        <is>
          <t>50층 클리어 (h)</t>
        </is>
      </c>
      <c r="B14" t="n">
        <v>6.39</v>
      </c>
      <c r="C14" t="n">
        <v>9.17</v>
      </c>
    </row>
    <row r="15">
      <c r="A15" t="inlineStr">
        <is>
          <t>70층 클리어 (h)</t>
        </is>
      </c>
      <c r="B15" t="n">
        <v>8.359999999999999</v>
      </c>
      <c r="C15" t="n">
        <v>11.74</v>
      </c>
    </row>
    <row r="16">
      <c r="A16" t="inlineStr">
        <is>
          <t>100층 클리어 (h)</t>
        </is>
      </c>
      <c r="B16" t="n">
        <v>10.79</v>
      </c>
      <c r="C16" t="n">
        <v>14.52</v>
      </c>
    </row>
    <row r="17">
      <c r="A17" t="inlineStr">
        <is>
          <t>5층에서 막힌 판</t>
        </is>
      </c>
      <c r="B17" t="n">
        <v>2</v>
      </c>
      <c r="C17" t="n">
        <v>2</v>
      </c>
    </row>
    <row r="18">
      <c r="A18" t="inlineStr">
        <is>
          <t>10층에서 막힌 판</t>
        </is>
      </c>
      <c r="B18" t="n">
        <v>1</v>
      </c>
      <c r="C18" t="n">
        <v>1</v>
      </c>
    </row>
    <row r="19">
      <c r="A19" t="inlineStr">
        <is>
          <t>15층에서 막힌 판</t>
        </is>
      </c>
      <c r="B19" t="n">
        <v>1</v>
      </c>
      <c r="C19" t="n">
        <v>1</v>
      </c>
    </row>
    <row r="20">
      <c r="A20" t="inlineStr">
        <is>
          <t>16층에서 막힌 판</t>
        </is>
      </c>
      <c r="B20" t="n">
        <v>2</v>
      </c>
      <c r="C20" t="n">
        <v>1</v>
      </c>
    </row>
    <row r="21">
      <c r="A21" t="inlineStr">
        <is>
          <t>19층에서 막힌 판</t>
        </is>
      </c>
      <c r="B21" t="n">
        <v>3</v>
      </c>
      <c r="C21" t="n">
        <v>3</v>
      </c>
    </row>
    <row r="22">
      <c r="A22" t="inlineStr">
        <is>
          <t>30층에서 막힌 판</t>
        </is>
      </c>
      <c r="B22" t="n">
        <v>2</v>
      </c>
      <c r="C22" t="n">
        <v>5</v>
      </c>
    </row>
    <row r="23">
      <c r="A23" t="inlineStr">
        <is>
          <t>40층에서 막힌 판</t>
        </is>
      </c>
      <c r="B23" t="n">
        <v>1</v>
      </c>
      <c r="C23" t="n">
        <v>2</v>
      </c>
    </row>
    <row r="24">
      <c r="A24" t="inlineStr">
        <is>
          <t>50층에서 막힌 판</t>
        </is>
      </c>
      <c r="B24" t="n">
        <v>2</v>
      </c>
      <c r="C24" t="n">
        <v>4</v>
      </c>
    </row>
    <row r="25">
      <c r="A25" t="inlineStr">
        <is>
          <t>60층에서 막힌 판</t>
        </is>
      </c>
      <c r="B25" t="n">
        <v>3</v>
      </c>
      <c r="C25" t="n">
        <v>3</v>
      </c>
    </row>
    <row r="26">
      <c r="A26" t="inlineStr">
        <is>
          <t>70층에서 막힌 판</t>
        </is>
      </c>
      <c r="B26" t="n">
        <v>3</v>
      </c>
      <c r="C26" t="n">
        <v>4</v>
      </c>
    </row>
    <row r="27">
      <c r="A27" t="inlineStr">
        <is>
          <t>80층에서 막힌 판</t>
        </is>
      </c>
      <c r="B27" t="n">
        <v>2</v>
      </c>
      <c r="C27" t="n">
        <v>3</v>
      </c>
    </row>
    <row r="28">
      <c r="A28" t="inlineStr">
        <is>
          <t>90층에서 막힌 판</t>
        </is>
      </c>
      <c r="B28" t="n">
        <v>2</v>
      </c>
      <c r="C28" t="n">
        <v>2</v>
      </c>
    </row>
    <row r="29">
      <c r="A29" t="inlineStr">
        <is>
          <t>100층에서 막힌 판</t>
        </is>
      </c>
      <c r="B29" t="n">
        <v>4</v>
      </c>
      <c r="C29" t="n">
        <v>3</v>
      </c>
    </row>
    <row r="31">
      <c r="A31" t="inlineStr">
        <is>
          <t>시간표 목표(누적, 사용자 2026-10-19): 튜토리얼 ~20분 · 16층 2h · 30층 4h · 31층 증강 4h · 50층 6.5h · 70층 9h · 100층 12.5h · 허들 층 2~3판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5" customWidth="1" min="4" max="4"/>
    <col width="9" customWidth="1" min="5" max="5"/>
    <col width="13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t="inlineStr">
        <is>
          <t>훈장 끝 상태(트리 전부)로 이 층을 깨는 데 걸리는 초 (수식) — 빨강 = 실패 · 주황 = 제한시간 85%↑ · 초록 = 40%↓ · 굵은 행 = 허들 층</t>
        </is>
      </c>
    </row>
    <row r="2">
      <c r="A2" s="7" t="inlineStr">
        <is>
          <t>층</t>
        </is>
      </c>
      <c r="B2" s="7" t="inlineStr">
        <is>
          <t>유형</t>
        </is>
      </c>
      <c r="C2" s="7" t="inlineStr">
        <is>
          <t>보스</t>
        </is>
      </c>
      <c r="D2" s="7" t="inlineStr">
        <is>
          <t>적정 전투력</t>
        </is>
      </c>
      <c r="E2" s="7" t="inlineStr">
        <is>
          <t>목표 초</t>
        </is>
      </c>
      <c r="F2" s="7" t="inlineStr">
        <is>
          <t>연구자료</t>
        </is>
      </c>
      <c r="G2" s="7" t="inlineStr">
        <is>
          <t>시작 층 상한</t>
        </is>
      </c>
      <c r="H2" s="7" t="inlineStr">
        <is>
          <t>1훈장</t>
        </is>
      </c>
      <c r="I2" s="7" t="inlineStr">
        <is>
          <t>2훈장</t>
        </is>
      </c>
      <c r="J2" s="7" t="inlineStr">
        <is>
          <t>3훈장</t>
        </is>
      </c>
      <c r="K2" s="7" t="inlineStr">
        <is>
          <t>4훈장</t>
        </is>
      </c>
      <c r="L2" s="7" t="inlineStr">
        <is>
          <t>5훈장</t>
        </is>
      </c>
      <c r="M2" s="7" t="inlineStr">
        <is>
          <t>6훈장</t>
        </is>
      </c>
      <c r="N2" s="7" t="inlineStr">
        <is>
          <t>7훈장</t>
        </is>
      </c>
      <c r="O2" s="7" t="inlineStr">
        <is>
          <t>8훈장</t>
        </is>
      </c>
      <c r="P2" s="7" t="inlineStr">
        <is>
          <t>9훈장</t>
        </is>
      </c>
      <c r="Q2" s="7" t="inlineStr">
        <is>
          <t>10훈장</t>
        </is>
      </c>
      <c r="R2" s="7" t="inlineStr">
        <is>
          <t>11훈장</t>
        </is>
      </c>
      <c r="S2" s="7" t="inlineStr">
        <is>
          <t>12훈장</t>
        </is>
      </c>
      <c r="T2" s="7" t="inlineStr">
        <is>
          <t>13훈장</t>
        </is>
      </c>
      <c r="U2" s="7" t="inlineStr">
        <is>
          <t>14훈장</t>
        </is>
      </c>
      <c r="V2" s="7" t="inlineStr">
        <is>
          <t>15훈장</t>
        </is>
      </c>
      <c r="W2" s="7" t="inlineStr">
        <is>
          <t>16훈장</t>
        </is>
      </c>
    </row>
    <row r="3">
      <c r="A3" t="n">
        <v>1</v>
      </c>
      <c r="B3" t="inlineStr">
        <is>
          <t>도입</t>
        </is>
      </c>
      <c r="C3" t="inlineStr"/>
      <c r="D3" s="6" t="n">
        <v>300</v>
      </c>
      <c r="E3" t="n">
        <v>72</v>
      </c>
      <c r="F3" s="6" t="n">
        <v>8</v>
      </c>
      <c r="G3" t="n">
        <v>1</v>
      </c>
      <c r="H3" s="8">
        <f>IF($E3*'설정'!$C$5*IF(('설정'!$C$22*IF($A3&gt;=31,1+'설정'!$C$14*'설정'!$E$22,1)/$D3)&lt;1,('설정'!$C$22*IF($A3&gt;=31,1+'설정'!$C$14*'설정'!$E$22,1)/$D3)^(-'설정'!$C$6),('설정'!$C$22*IF($A3&gt;=31,1+'설정'!$C$14*'설정'!$E$22,1)/$D3)^(-'설정'!$C$7))&gt;('설정'!$C$4+'설정'!$F$22),"실패",ROUND($E3*'설정'!$C$5*IF(('설정'!$C$22*IF($A3&gt;=31,1+'설정'!$C$14*'설정'!$E$22,1)/$D3)&lt;1,('설정'!$C$22*IF($A3&gt;=31,1+'설정'!$C$14*'설정'!$E$22,1)/$D3)^(-'설정'!$C$6),('설정'!$C$22*IF($A3&gt;=31,1+'설정'!$C$14*'설정'!$E$22,1)/$D3)^(-'설정'!$C$7)),0))</f>
        <v/>
      </c>
      <c r="I3" s="8">
        <f>IF($E3*'설정'!$C$5*IF(('설정'!$C$23*IF($A3&gt;=31,1+'설정'!$C$14*'설정'!$E$23,1)/$D3)&lt;1,('설정'!$C$23*IF($A3&gt;=31,1+'설정'!$C$14*'설정'!$E$23,1)/$D3)^(-'설정'!$C$6),('설정'!$C$23*IF($A3&gt;=31,1+'설정'!$C$14*'설정'!$E$23,1)/$D3)^(-'설정'!$C$7))&gt;('설정'!$C$4+'설정'!$F$23),"실패",ROUND($E3*'설정'!$C$5*IF(('설정'!$C$23*IF($A3&gt;=31,1+'설정'!$C$14*'설정'!$E$23,1)/$D3)&lt;1,('설정'!$C$23*IF($A3&gt;=31,1+'설정'!$C$14*'설정'!$E$23,1)/$D3)^(-'설정'!$C$6),('설정'!$C$23*IF($A3&gt;=31,1+'설정'!$C$14*'설정'!$E$23,1)/$D3)^(-'설정'!$C$7)),0))</f>
        <v/>
      </c>
      <c r="J3" s="8">
        <f>IF($E3*'설정'!$C$5*IF(('설정'!$C$24*IF($A3&gt;=31,1+'설정'!$C$14*'설정'!$E$24,1)/$D3)&lt;1,('설정'!$C$24*IF($A3&gt;=31,1+'설정'!$C$14*'설정'!$E$24,1)/$D3)^(-'설정'!$C$6),('설정'!$C$24*IF($A3&gt;=31,1+'설정'!$C$14*'설정'!$E$24,1)/$D3)^(-'설정'!$C$7))&gt;('설정'!$C$4+'설정'!$F$24),"실패",ROUND($E3*'설정'!$C$5*IF(('설정'!$C$24*IF($A3&gt;=31,1+'설정'!$C$14*'설정'!$E$24,1)/$D3)&lt;1,('설정'!$C$24*IF($A3&gt;=31,1+'설정'!$C$14*'설정'!$E$24,1)/$D3)^(-'설정'!$C$6),('설정'!$C$24*IF($A3&gt;=31,1+'설정'!$C$14*'설정'!$E$24,1)/$D3)^(-'설정'!$C$7)),0))</f>
        <v/>
      </c>
      <c r="K3" s="8">
        <f>IF($E3*'설정'!$C$5*IF(('설정'!$C$25*IF($A3&gt;=31,1+'설정'!$C$14*'설정'!$E$25,1)/$D3)&lt;1,('설정'!$C$25*IF($A3&gt;=31,1+'설정'!$C$14*'설정'!$E$25,1)/$D3)^(-'설정'!$C$6),('설정'!$C$25*IF($A3&gt;=31,1+'설정'!$C$14*'설정'!$E$25,1)/$D3)^(-'설정'!$C$7))&gt;('설정'!$C$4+'설정'!$F$25),"실패",ROUND($E3*'설정'!$C$5*IF(('설정'!$C$25*IF($A3&gt;=31,1+'설정'!$C$14*'설정'!$E$25,1)/$D3)&lt;1,('설정'!$C$25*IF($A3&gt;=31,1+'설정'!$C$14*'설정'!$E$25,1)/$D3)^(-'설정'!$C$6),('설정'!$C$25*IF($A3&gt;=31,1+'설정'!$C$14*'설정'!$E$25,1)/$D3)^(-'설정'!$C$7)),0))</f>
        <v/>
      </c>
      <c r="L3" s="8">
        <f>IF($E3*'설정'!$C$5*IF(('설정'!$C$26*IF($A3&gt;=31,1+'설정'!$C$14*'설정'!$E$26,1)/$D3)&lt;1,('설정'!$C$26*IF($A3&gt;=31,1+'설정'!$C$14*'설정'!$E$26,1)/$D3)^(-'설정'!$C$6),('설정'!$C$26*IF($A3&gt;=31,1+'설정'!$C$14*'설정'!$E$26,1)/$D3)^(-'설정'!$C$7))&gt;('설정'!$C$4+'설정'!$F$26),"실패",ROUND($E3*'설정'!$C$5*IF(('설정'!$C$26*IF($A3&gt;=31,1+'설정'!$C$14*'설정'!$E$26,1)/$D3)&lt;1,('설정'!$C$26*IF($A3&gt;=31,1+'설정'!$C$14*'설정'!$E$26,1)/$D3)^(-'설정'!$C$6),('설정'!$C$26*IF($A3&gt;=31,1+'설정'!$C$14*'설정'!$E$26,1)/$D3)^(-'설정'!$C$7)),0))</f>
        <v/>
      </c>
      <c r="M3" s="8">
        <f>IF($E3*'설정'!$C$5*IF(('설정'!$C$27*IF($A3&gt;=31,1+'설정'!$C$14*'설정'!$E$27,1)/$D3)&lt;1,('설정'!$C$27*IF($A3&gt;=31,1+'설정'!$C$14*'설정'!$E$27,1)/$D3)^(-'설정'!$C$6),('설정'!$C$27*IF($A3&gt;=31,1+'설정'!$C$14*'설정'!$E$27,1)/$D3)^(-'설정'!$C$7))&gt;('설정'!$C$4+'설정'!$F$27),"실패",ROUND($E3*'설정'!$C$5*IF(('설정'!$C$27*IF($A3&gt;=31,1+'설정'!$C$14*'설정'!$E$27,1)/$D3)&lt;1,('설정'!$C$27*IF($A3&gt;=31,1+'설정'!$C$14*'설정'!$E$27,1)/$D3)^(-'설정'!$C$6),('설정'!$C$27*IF($A3&gt;=31,1+'설정'!$C$14*'설정'!$E$27,1)/$D3)^(-'설정'!$C$7)),0))</f>
        <v/>
      </c>
      <c r="N3" s="8">
        <f>IF($E3*'설정'!$C$5*IF(('설정'!$C$28*IF($A3&gt;=31,1+'설정'!$C$14*'설정'!$E$28,1)/$D3)&lt;1,('설정'!$C$28*IF($A3&gt;=31,1+'설정'!$C$14*'설정'!$E$28,1)/$D3)^(-'설정'!$C$6),('설정'!$C$28*IF($A3&gt;=31,1+'설정'!$C$14*'설정'!$E$28,1)/$D3)^(-'설정'!$C$7))&gt;('설정'!$C$4+'설정'!$F$28),"실패",ROUND($E3*'설정'!$C$5*IF(('설정'!$C$28*IF($A3&gt;=31,1+'설정'!$C$14*'설정'!$E$28,1)/$D3)&lt;1,('설정'!$C$28*IF($A3&gt;=31,1+'설정'!$C$14*'설정'!$E$28,1)/$D3)^(-'설정'!$C$6),('설정'!$C$28*IF($A3&gt;=31,1+'설정'!$C$14*'설정'!$E$28,1)/$D3)^(-'설정'!$C$7)),0))</f>
        <v/>
      </c>
      <c r="O3" s="8">
        <f>IF($E3*'설정'!$C$5*IF(('설정'!$C$29*IF($A3&gt;=31,1+'설정'!$C$14*'설정'!$E$29,1)/$D3)&lt;1,('설정'!$C$29*IF($A3&gt;=31,1+'설정'!$C$14*'설정'!$E$29,1)/$D3)^(-'설정'!$C$6),('설정'!$C$29*IF($A3&gt;=31,1+'설정'!$C$14*'설정'!$E$29,1)/$D3)^(-'설정'!$C$7))&gt;('설정'!$C$4+'설정'!$F$29),"실패",ROUND($E3*'설정'!$C$5*IF(('설정'!$C$29*IF($A3&gt;=31,1+'설정'!$C$14*'설정'!$E$29,1)/$D3)&lt;1,('설정'!$C$29*IF($A3&gt;=31,1+'설정'!$C$14*'설정'!$E$29,1)/$D3)^(-'설정'!$C$6),('설정'!$C$29*IF($A3&gt;=31,1+'설정'!$C$14*'설정'!$E$29,1)/$D3)^(-'설정'!$C$7)),0))</f>
        <v/>
      </c>
      <c r="P3" s="8">
        <f>IF($E3*'설정'!$C$5*IF(('설정'!$C$30*IF($A3&gt;=31,1+'설정'!$C$14*'설정'!$E$30,1)/$D3)&lt;1,('설정'!$C$30*IF($A3&gt;=31,1+'설정'!$C$14*'설정'!$E$30,1)/$D3)^(-'설정'!$C$6),('설정'!$C$30*IF($A3&gt;=31,1+'설정'!$C$14*'설정'!$E$30,1)/$D3)^(-'설정'!$C$7))&gt;('설정'!$C$4+'설정'!$F$30),"실패",ROUND($E3*'설정'!$C$5*IF(('설정'!$C$30*IF($A3&gt;=31,1+'설정'!$C$14*'설정'!$E$30,1)/$D3)&lt;1,('설정'!$C$30*IF($A3&gt;=31,1+'설정'!$C$14*'설정'!$E$30,1)/$D3)^(-'설정'!$C$6),('설정'!$C$30*IF($A3&gt;=31,1+'설정'!$C$14*'설정'!$E$30,1)/$D3)^(-'설정'!$C$7)),0))</f>
        <v/>
      </c>
      <c r="Q3" s="8">
        <f>IF($E3*'설정'!$C$5*IF(('설정'!$C$31*IF($A3&gt;=31,1+'설정'!$C$14*'설정'!$E$31,1)/$D3)&lt;1,('설정'!$C$31*IF($A3&gt;=31,1+'설정'!$C$14*'설정'!$E$31,1)/$D3)^(-'설정'!$C$6),('설정'!$C$31*IF($A3&gt;=31,1+'설정'!$C$14*'설정'!$E$31,1)/$D3)^(-'설정'!$C$7))&gt;('설정'!$C$4+'설정'!$F$31),"실패",ROUND($E3*'설정'!$C$5*IF(('설정'!$C$31*IF($A3&gt;=31,1+'설정'!$C$14*'설정'!$E$31,1)/$D3)&lt;1,('설정'!$C$31*IF($A3&gt;=31,1+'설정'!$C$14*'설정'!$E$31,1)/$D3)^(-'설정'!$C$6),('설정'!$C$31*IF($A3&gt;=31,1+'설정'!$C$14*'설정'!$E$31,1)/$D3)^(-'설정'!$C$7)),0))</f>
        <v/>
      </c>
      <c r="R3" s="8">
        <f>IF($E3*'설정'!$C$5*IF(('설정'!$C$32*IF($A3&gt;=31,1+'설정'!$C$14*'설정'!$E$32,1)/$D3)&lt;1,('설정'!$C$32*IF($A3&gt;=31,1+'설정'!$C$14*'설정'!$E$32,1)/$D3)^(-'설정'!$C$6),('설정'!$C$32*IF($A3&gt;=31,1+'설정'!$C$14*'설정'!$E$32,1)/$D3)^(-'설정'!$C$7))&gt;('설정'!$C$4+'설정'!$F$32),"실패",ROUND($E3*'설정'!$C$5*IF(('설정'!$C$32*IF($A3&gt;=31,1+'설정'!$C$14*'설정'!$E$32,1)/$D3)&lt;1,('설정'!$C$32*IF($A3&gt;=31,1+'설정'!$C$14*'설정'!$E$32,1)/$D3)^(-'설정'!$C$6),('설정'!$C$32*IF($A3&gt;=31,1+'설정'!$C$14*'설정'!$E$32,1)/$D3)^(-'설정'!$C$7)),0))</f>
        <v/>
      </c>
      <c r="S3" s="8">
        <f>IF($E3*'설정'!$C$5*IF(('설정'!$C$33*IF($A3&gt;=31,1+'설정'!$C$14*'설정'!$E$33,1)/$D3)&lt;1,('설정'!$C$33*IF($A3&gt;=31,1+'설정'!$C$14*'설정'!$E$33,1)/$D3)^(-'설정'!$C$6),('설정'!$C$33*IF($A3&gt;=31,1+'설정'!$C$14*'설정'!$E$33,1)/$D3)^(-'설정'!$C$7))&gt;('설정'!$C$4+'설정'!$F$33),"실패",ROUND($E3*'설정'!$C$5*IF(('설정'!$C$33*IF($A3&gt;=31,1+'설정'!$C$14*'설정'!$E$33,1)/$D3)&lt;1,('설정'!$C$33*IF($A3&gt;=31,1+'설정'!$C$14*'설정'!$E$33,1)/$D3)^(-'설정'!$C$6),('설정'!$C$33*IF($A3&gt;=31,1+'설정'!$C$14*'설정'!$E$33,1)/$D3)^(-'설정'!$C$7)),0))</f>
        <v/>
      </c>
      <c r="T3" s="8">
        <f>IF($E3*'설정'!$C$5*IF(('설정'!$C$34*IF($A3&gt;=31,1+'설정'!$C$14*'설정'!$E$34,1)/$D3)&lt;1,('설정'!$C$34*IF($A3&gt;=31,1+'설정'!$C$14*'설정'!$E$34,1)/$D3)^(-'설정'!$C$6),('설정'!$C$34*IF($A3&gt;=31,1+'설정'!$C$14*'설정'!$E$34,1)/$D3)^(-'설정'!$C$7))&gt;('설정'!$C$4+'설정'!$F$34),"실패",ROUND($E3*'설정'!$C$5*IF(('설정'!$C$34*IF($A3&gt;=31,1+'설정'!$C$14*'설정'!$E$34,1)/$D3)&lt;1,('설정'!$C$34*IF($A3&gt;=31,1+'설정'!$C$14*'설정'!$E$34,1)/$D3)^(-'설정'!$C$6),('설정'!$C$34*IF($A3&gt;=31,1+'설정'!$C$14*'설정'!$E$34,1)/$D3)^(-'설정'!$C$7)),0))</f>
        <v/>
      </c>
      <c r="U3" s="8">
        <f>IF($E3*'설정'!$C$5*IF(('설정'!$C$35*IF($A3&gt;=31,1+'설정'!$C$14*'설정'!$E$35,1)/$D3)&lt;1,('설정'!$C$35*IF($A3&gt;=31,1+'설정'!$C$14*'설정'!$E$35,1)/$D3)^(-'설정'!$C$6),('설정'!$C$35*IF($A3&gt;=31,1+'설정'!$C$14*'설정'!$E$35,1)/$D3)^(-'설정'!$C$7))&gt;('설정'!$C$4+'설정'!$F$35),"실패",ROUND($E3*'설정'!$C$5*IF(('설정'!$C$35*IF($A3&gt;=31,1+'설정'!$C$14*'설정'!$E$35,1)/$D3)&lt;1,('설정'!$C$35*IF($A3&gt;=31,1+'설정'!$C$14*'설정'!$E$35,1)/$D3)^(-'설정'!$C$6),('설정'!$C$35*IF($A3&gt;=31,1+'설정'!$C$14*'설정'!$E$35,1)/$D3)^(-'설정'!$C$7)),0))</f>
        <v/>
      </c>
      <c r="V3" s="8">
        <f>IF($E3*'설정'!$C$5*IF(('설정'!$C$36*IF($A3&gt;=31,1+'설정'!$C$14*'설정'!$E$36,1)/$D3)&lt;1,('설정'!$C$36*IF($A3&gt;=31,1+'설정'!$C$14*'설정'!$E$36,1)/$D3)^(-'설정'!$C$6),('설정'!$C$36*IF($A3&gt;=31,1+'설정'!$C$14*'설정'!$E$36,1)/$D3)^(-'설정'!$C$7))&gt;('설정'!$C$4+'설정'!$F$36),"실패",ROUND($E3*'설정'!$C$5*IF(('설정'!$C$36*IF($A3&gt;=31,1+'설정'!$C$14*'설정'!$E$36,1)/$D3)&lt;1,('설정'!$C$36*IF($A3&gt;=31,1+'설정'!$C$14*'설정'!$E$36,1)/$D3)^(-'설정'!$C$6),('설정'!$C$36*IF($A3&gt;=31,1+'설정'!$C$14*'설정'!$E$36,1)/$D3)^(-'설정'!$C$7)),0))</f>
        <v/>
      </c>
      <c r="W3" s="8">
        <f>IF($E3*'설정'!$C$5*IF(('설정'!$C$37*IF($A3&gt;=31,1+'설정'!$C$14*'설정'!$E$37,1)/$D3)&lt;1,('설정'!$C$37*IF($A3&gt;=31,1+'설정'!$C$14*'설정'!$E$37,1)/$D3)^(-'설정'!$C$6),('설정'!$C$37*IF($A3&gt;=31,1+'설정'!$C$14*'설정'!$E$37,1)/$D3)^(-'설정'!$C$7))&gt;('설정'!$C$4+'설정'!$F$37),"실패",ROUND($E3*'설정'!$C$5*IF(('설정'!$C$37*IF($A3&gt;=31,1+'설정'!$C$14*'설정'!$E$37,1)/$D3)&lt;1,('설정'!$C$37*IF($A3&gt;=31,1+'설정'!$C$14*'설정'!$E$37,1)/$D3)^(-'설정'!$C$6),('설정'!$C$37*IF($A3&gt;=31,1+'설정'!$C$14*'설정'!$E$37,1)/$D3)^(-'설정'!$C$7)),0))</f>
        <v/>
      </c>
    </row>
    <row r="4">
      <c r="A4" t="n">
        <v>2</v>
      </c>
      <c r="B4" t="inlineStr">
        <is>
          <t>쉬움</t>
        </is>
      </c>
      <c r="C4" t="inlineStr"/>
      <c r="D4" s="6" t="n">
        <v>500</v>
      </c>
      <c r="E4" t="n">
        <v>72</v>
      </c>
      <c r="F4" s="6" t="n">
        <v>10</v>
      </c>
      <c r="G4" t="n">
        <v>1</v>
      </c>
      <c r="H4" s="8">
        <f>IF($E4*'설정'!$C$5*IF(('설정'!$C$22*IF($A4&gt;=31,1+'설정'!$C$14*'설정'!$E$22,1)/$D4)&lt;1,('설정'!$C$22*IF($A4&gt;=31,1+'설정'!$C$14*'설정'!$E$22,1)/$D4)^(-'설정'!$C$6),('설정'!$C$22*IF($A4&gt;=31,1+'설정'!$C$14*'설정'!$E$22,1)/$D4)^(-'설정'!$C$7))&gt;('설정'!$C$4+'설정'!$F$22),"실패",ROUND($E4*'설정'!$C$5*IF(('설정'!$C$22*IF($A4&gt;=31,1+'설정'!$C$14*'설정'!$E$22,1)/$D4)&lt;1,('설정'!$C$22*IF($A4&gt;=31,1+'설정'!$C$14*'설정'!$E$22,1)/$D4)^(-'설정'!$C$6),('설정'!$C$22*IF($A4&gt;=31,1+'설정'!$C$14*'설정'!$E$22,1)/$D4)^(-'설정'!$C$7)),0))</f>
        <v/>
      </c>
      <c r="I4" s="8">
        <f>IF($E4*'설정'!$C$5*IF(('설정'!$C$23*IF($A4&gt;=31,1+'설정'!$C$14*'설정'!$E$23,1)/$D4)&lt;1,('설정'!$C$23*IF($A4&gt;=31,1+'설정'!$C$14*'설정'!$E$23,1)/$D4)^(-'설정'!$C$6),('설정'!$C$23*IF($A4&gt;=31,1+'설정'!$C$14*'설정'!$E$23,1)/$D4)^(-'설정'!$C$7))&gt;('설정'!$C$4+'설정'!$F$23),"실패",ROUND($E4*'설정'!$C$5*IF(('설정'!$C$23*IF($A4&gt;=31,1+'설정'!$C$14*'설정'!$E$23,1)/$D4)&lt;1,('설정'!$C$23*IF($A4&gt;=31,1+'설정'!$C$14*'설정'!$E$23,1)/$D4)^(-'설정'!$C$6),('설정'!$C$23*IF($A4&gt;=31,1+'설정'!$C$14*'설정'!$E$23,1)/$D4)^(-'설정'!$C$7)),0))</f>
        <v/>
      </c>
      <c r="J4" s="8">
        <f>IF($E4*'설정'!$C$5*IF(('설정'!$C$24*IF($A4&gt;=31,1+'설정'!$C$14*'설정'!$E$24,1)/$D4)&lt;1,('설정'!$C$24*IF($A4&gt;=31,1+'설정'!$C$14*'설정'!$E$24,1)/$D4)^(-'설정'!$C$6),('설정'!$C$24*IF($A4&gt;=31,1+'설정'!$C$14*'설정'!$E$24,1)/$D4)^(-'설정'!$C$7))&gt;('설정'!$C$4+'설정'!$F$24),"실패",ROUND($E4*'설정'!$C$5*IF(('설정'!$C$24*IF($A4&gt;=31,1+'설정'!$C$14*'설정'!$E$24,1)/$D4)&lt;1,('설정'!$C$24*IF($A4&gt;=31,1+'설정'!$C$14*'설정'!$E$24,1)/$D4)^(-'설정'!$C$6),('설정'!$C$24*IF($A4&gt;=31,1+'설정'!$C$14*'설정'!$E$24,1)/$D4)^(-'설정'!$C$7)),0))</f>
        <v/>
      </c>
      <c r="K4" s="8">
        <f>IF($E4*'설정'!$C$5*IF(('설정'!$C$25*IF($A4&gt;=31,1+'설정'!$C$14*'설정'!$E$25,1)/$D4)&lt;1,('설정'!$C$25*IF($A4&gt;=31,1+'설정'!$C$14*'설정'!$E$25,1)/$D4)^(-'설정'!$C$6),('설정'!$C$25*IF($A4&gt;=31,1+'설정'!$C$14*'설정'!$E$25,1)/$D4)^(-'설정'!$C$7))&gt;('설정'!$C$4+'설정'!$F$25),"실패",ROUND($E4*'설정'!$C$5*IF(('설정'!$C$25*IF($A4&gt;=31,1+'설정'!$C$14*'설정'!$E$25,1)/$D4)&lt;1,('설정'!$C$25*IF($A4&gt;=31,1+'설정'!$C$14*'설정'!$E$25,1)/$D4)^(-'설정'!$C$6),('설정'!$C$25*IF($A4&gt;=31,1+'설정'!$C$14*'설정'!$E$25,1)/$D4)^(-'설정'!$C$7)),0))</f>
        <v/>
      </c>
      <c r="L4" s="8">
        <f>IF($E4*'설정'!$C$5*IF(('설정'!$C$26*IF($A4&gt;=31,1+'설정'!$C$14*'설정'!$E$26,1)/$D4)&lt;1,('설정'!$C$26*IF($A4&gt;=31,1+'설정'!$C$14*'설정'!$E$26,1)/$D4)^(-'설정'!$C$6),('설정'!$C$26*IF($A4&gt;=31,1+'설정'!$C$14*'설정'!$E$26,1)/$D4)^(-'설정'!$C$7))&gt;('설정'!$C$4+'설정'!$F$26),"실패",ROUND($E4*'설정'!$C$5*IF(('설정'!$C$26*IF($A4&gt;=31,1+'설정'!$C$14*'설정'!$E$26,1)/$D4)&lt;1,('설정'!$C$26*IF($A4&gt;=31,1+'설정'!$C$14*'설정'!$E$26,1)/$D4)^(-'설정'!$C$6),('설정'!$C$26*IF($A4&gt;=31,1+'설정'!$C$14*'설정'!$E$26,1)/$D4)^(-'설정'!$C$7)),0))</f>
        <v/>
      </c>
      <c r="M4" s="8">
        <f>IF($E4*'설정'!$C$5*IF(('설정'!$C$27*IF($A4&gt;=31,1+'설정'!$C$14*'설정'!$E$27,1)/$D4)&lt;1,('설정'!$C$27*IF($A4&gt;=31,1+'설정'!$C$14*'설정'!$E$27,1)/$D4)^(-'설정'!$C$6),('설정'!$C$27*IF($A4&gt;=31,1+'설정'!$C$14*'설정'!$E$27,1)/$D4)^(-'설정'!$C$7))&gt;('설정'!$C$4+'설정'!$F$27),"실패",ROUND($E4*'설정'!$C$5*IF(('설정'!$C$27*IF($A4&gt;=31,1+'설정'!$C$14*'설정'!$E$27,1)/$D4)&lt;1,('설정'!$C$27*IF($A4&gt;=31,1+'설정'!$C$14*'설정'!$E$27,1)/$D4)^(-'설정'!$C$6),('설정'!$C$27*IF($A4&gt;=31,1+'설정'!$C$14*'설정'!$E$27,1)/$D4)^(-'설정'!$C$7)),0))</f>
        <v/>
      </c>
      <c r="N4" s="8">
        <f>IF($E4*'설정'!$C$5*IF(('설정'!$C$28*IF($A4&gt;=31,1+'설정'!$C$14*'설정'!$E$28,1)/$D4)&lt;1,('설정'!$C$28*IF($A4&gt;=31,1+'설정'!$C$14*'설정'!$E$28,1)/$D4)^(-'설정'!$C$6),('설정'!$C$28*IF($A4&gt;=31,1+'설정'!$C$14*'설정'!$E$28,1)/$D4)^(-'설정'!$C$7))&gt;('설정'!$C$4+'설정'!$F$28),"실패",ROUND($E4*'설정'!$C$5*IF(('설정'!$C$28*IF($A4&gt;=31,1+'설정'!$C$14*'설정'!$E$28,1)/$D4)&lt;1,('설정'!$C$28*IF($A4&gt;=31,1+'설정'!$C$14*'설정'!$E$28,1)/$D4)^(-'설정'!$C$6),('설정'!$C$28*IF($A4&gt;=31,1+'설정'!$C$14*'설정'!$E$28,1)/$D4)^(-'설정'!$C$7)),0))</f>
        <v/>
      </c>
      <c r="O4" s="8">
        <f>IF($E4*'설정'!$C$5*IF(('설정'!$C$29*IF($A4&gt;=31,1+'설정'!$C$14*'설정'!$E$29,1)/$D4)&lt;1,('설정'!$C$29*IF($A4&gt;=31,1+'설정'!$C$14*'설정'!$E$29,1)/$D4)^(-'설정'!$C$6),('설정'!$C$29*IF($A4&gt;=31,1+'설정'!$C$14*'설정'!$E$29,1)/$D4)^(-'설정'!$C$7))&gt;('설정'!$C$4+'설정'!$F$29),"실패",ROUND($E4*'설정'!$C$5*IF(('설정'!$C$29*IF($A4&gt;=31,1+'설정'!$C$14*'설정'!$E$29,1)/$D4)&lt;1,('설정'!$C$29*IF($A4&gt;=31,1+'설정'!$C$14*'설정'!$E$29,1)/$D4)^(-'설정'!$C$6),('설정'!$C$29*IF($A4&gt;=31,1+'설정'!$C$14*'설정'!$E$29,1)/$D4)^(-'설정'!$C$7)),0))</f>
        <v/>
      </c>
      <c r="P4" s="8">
        <f>IF($E4*'설정'!$C$5*IF(('설정'!$C$30*IF($A4&gt;=31,1+'설정'!$C$14*'설정'!$E$30,1)/$D4)&lt;1,('설정'!$C$30*IF($A4&gt;=31,1+'설정'!$C$14*'설정'!$E$30,1)/$D4)^(-'설정'!$C$6),('설정'!$C$30*IF($A4&gt;=31,1+'설정'!$C$14*'설정'!$E$30,1)/$D4)^(-'설정'!$C$7))&gt;('설정'!$C$4+'설정'!$F$30),"실패",ROUND($E4*'설정'!$C$5*IF(('설정'!$C$30*IF($A4&gt;=31,1+'설정'!$C$14*'설정'!$E$30,1)/$D4)&lt;1,('설정'!$C$30*IF($A4&gt;=31,1+'설정'!$C$14*'설정'!$E$30,1)/$D4)^(-'설정'!$C$6),('설정'!$C$30*IF($A4&gt;=31,1+'설정'!$C$14*'설정'!$E$30,1)/$D4)^(-'설정'!$C$7)),0))</f>
        <v/>
      </c>
      <c r="Q4" s="8">
        <f>IF($E4*'설정'!$C$5*IF(('설정'!$C$31*IF($A4&gt;=31,1+'설정'!$C$14*'설정'!$E$31,1)/$D4)&lt;1,('설정'!$C$31*IF($A4&gt;=31,1+'설정'!$C$14*'설정'!$E$31,1)/$D4)^(-'설정'!$C$6),('설정'!$C$31*IF($A4&gt;=31,1+'설정'!$C$14*'설정'!$E$31,1)/$D4)^(-'설정'!$C$7))&gt;('설정'!$C$4+'설정'!$F$31),"실패",ROUND($E4*'설정'!$C$5*IF(('설정'!$C$31*IF($A4&gt;=31,1+'설정'!$C$14*'설정'!$E$31,1)/$D4)&lt;1,('설정'!$C$31*IF($A4&gt;=31,1+'설정'!$C$14*'설정'!$E$31,1)/$D4)^(-'설정'!$C$6),('설정'!$C$31*IF($A4&gt;=31,1+'설정'!$C$14*'설정'!$E$31,1)/$D4)^(-'설정'!$C$7)),0))</f>
        <v/>
      </c>
      <c r="R4" s="8">
        <f>IF($E4*'설정'!$C$5*IF(('설정'!$C$32*IF($A4&gt;=31,1+'설정'!$C$14*'설정'!$E$32,1)/$D4)&lt;1,('설정'!$C$32*IF($A4&gt;=31,1+'설정'!$C$14*'설정'!$E$32,1)/$D4)^(-'설정'!$C$6),('설정'!$C$32*IF($A4&gt;=31,1+'설정'!$C$14*'설정'!$E$32,1)/$D4)^(-'설정'!$C$7))&gt;('설정'!$C$4+'설정'!$F$32),"실패",ROUND($E4*'설정'!$C$5*IF(('설정'!$C$32*IF($A4&gt;=31,1+'설정'!$C$14*'설정'!$E$32,1)/$D4)&lt;1,('설정'!$C$32*IF($A4&gt;=31,1+'설정'!$C$14*'설정'!$E$32,1)/$D4)^(-'설정'!$C$6),('설정'!$C$32*IF($A4&gt;=31,1+'설정'!$C$14*'설정'!$E$32,1)/$D4)^(-'설정'!$C$7)),0))</f>
        <v/>
      </c>
      <c r="S4" s="8">
        <f>IF($E4*'설정'!$C$5*IF(('설정'!$C$33*IF($A4&gt;=31,1+'설정'!$C$14*'설정'!$E$33,1)/$D4)&lt;1,('설정'!$C$33*IF($A4&gt;=31,1+'설정'!$C$14*'설정'!$E$33,1)/$D4)^(-'설정'!$C$6),('설정'!$C$33*IF($A4&gt;=31,1+'설정'!$C$14*'설정'!$E$33,1)/$D4)^(-'설정'!$C$7))&gt;('설정'!$C$4+'설정'!$F$33),"실패",ROUND($E4*'설정'!$C$5*IF(('설정'!$C$33*IF($A4&gt;=31,1+'설정'!$C$14*'설정'!$E$33,1)/$D4)&lt;1,('설정'!$C$33*IF($A4&gt;=31,1+'설정'!$C$14*'설정'!$E$33,1)/$D4)^(-'설정'!$C$6),('설정'!$C$33*IF($A4&gt;=31,1+'설정'!$C$14*'설정'!$E$33,1)/$D4)^(-'설정'!$C$7)),0))</f>
        <v/>
      </c>
      <c r="T4" s="8">
        <f>IF($E4*'설정'!$C$5*IF(('설정'!$C$34*IF($A4&gt;=31,1+'설정'!$C$14*'설정'!$E$34,1)/$D4)&lt;1,('설정'!$C$34*IF($A4&gt;=31,1+'설정'!$C$14*'설정'!$E$34,1)/$D4)^(-'설정'!$C$6),('설정'!$C$34*IF($A4&gt;=31,1+'설정'!$C$14*'설정'!$E$34,1)/$D4)^(-'설정'!$C$7))&gt;('설정'!$C$4+'설정'!$F$34),"실패",ROUND($E4*'설정'!$C$5*IF(('설정'!$C$34*IF($A4&gt;=31,1+'설정'!$C$14*'설정'!$E$34,1)/$D4)&lt;1,('설정'!$C$34*IF($A4&gt;=31,1+'설정'!$C$14*'설정'!$E$34,1)/$D4)^(-'설정'!$C$6),('설정'!$C$34*IF($A4&gt;=31,1+'설정'!$C$14*'설정'!$E$34,1)/$D4)^(-'설정'!$C$7)),0))</f>
        <v/>
      </c>
      <c r="U4" s="8">
        <f>IF($E4*'설정'!$C$5*IF(('설정'!$C$35*IF($A4&gt;=31,1+'설정'!$C$14*'설정'!$E$35,1)/$D4)&lt;1,('설정'!$C$35*IF($A4&gt;=31,1+'설정'!$C$14*'설정'!$E$35,1)/$D4)^(-'설정'!$C$6),('설정'!$C$35*IF($A4&gt;=31,1+'설정'!$C$14*'설정'!$E$35,1)/$D4)^(-'설정'!$C$7))&gt;('설정'!$C$4+'설정'!$F$35),"실패",ROUND($E4*'설정'!$C$5*IF(('설정'!$C$35*IF($A4&gt;=31,1+'설정'!$C$14*'설정'!$E$35,1)/$D4)&lt;1,('설정'!$C$35*IF($A4&gt;=31,1+'설정'!$C$14*'설정'!$E$35,1)/$D4)^(-'설정'!$C$6),('설정'!$C$35*IF($A4&gt;=31,1+'설정'!$C$14*'설정'!$E$35,1)/$D4)^(-'설정'!$C$7)),0))</f>
        <v/>
      </c>
      <c r="V4" s="8">
        <f>IF($E4*'설정'!$C$5*IF(('설정'!$C$36*IF($A4&gt;=31,1+'설정'!$C$14*'설정'!$E$36,1)/$D4)&lt;1,('설정'!$C$36*IF($A4&gt;=31,1+'설정'!$C$14*'설정'!$E$36,1)/$D4)^(-'설정'!$C$6),('설정'!$C$36*IF($A4&gt;=31,1+'설정'!$C$14*'설정'!$E$36,1)/$D4)^(-'설정'!$C$7))&gt;('설정'!$C$4+'설정'!$F$36),"실패",ROUND($E4*'설정'!$C$5*IF(('설정'!$C$36*IF($A4&gt;=31,1+'설정'!$C$14*'설정'!$E$36,1)/$D4)&lt;1,('설정'!$C$36*IF($A4&gt;=31,1+'설정'!$C$14*'설정'!$E$36,1)/$D4)^(-'설정'!$C$6),('설정'!$C$36*IF($A4&gt;=31,1+'설정'!$C$14*'설정'!$E$36,1)/$D4)^(-'설정'!$C$7)),0))</f>
        <v/>
      </c>
      <c r="W4" s="8">
        <f>IF($E4*'설정'!$C$5*IF(('설정'!$C$37*IF($A4&gt;=31,1+'설정'!$C$14*'설정'!$E$37,1)/$D4)&lt;1,('설정'!$C$37*IF($A4&gt;=31,1+'설정'!$C$14*'설정'!$E$37,1)/$D4)^(-'설정'!$C$6),('설정'!$C$37*IF($A4&gt;=31,1+'설정'!$C$14*'설정'!$E$37,1)/$D4)^(-'설정'!$C$7))&gt;('설정'!$C$4+'설정'!$F$37),"실패",ROUND($E4*'설정'!$C$5*IF(('설정'!$C$37*IF($A4&gt;=31,1+'설정'!$C$14*'설정'!$E$37,1)/$D4)&lt;1,('설정'!$C$37*IF($A4&gt;=31,1+'설정'!$C$14*'설정'!$E$37,1)/$D4)^(-'설정'!$C$6),('설정'!$C$37*IF($A4&gt;=31,1+'설정'!$C$14*'설정'!$E$37,1)/$D4)^(-'설정'!$C$7)),0))</f>
        <v/>
      </c>
    </row>
    <row r="5">
      <c r="A5" t="n">
        <v>3</v>
      </c>
      <c r="B5" t="inlineStr">
        <is>
          <t>쉬움</t>
        </is>
      </c>
      <c r="C5" t="inlineStr"/>
      <c r="D5" s="6" t="n">
        <v>625</v>
      </c>
      <c r="E5" t="n">
        <v>72</v>
      </c>
      <c r="F5" s="6" t="n">
        <v>12.5</v>
      </c>
      <c r="G5" t="n">
        <v>1</v>
      </c>
      <c r="H5" s="8">
        <f>IF($E5*'설정'!$C$5*IF(('설정'!$C$22*IF($A5&gt;=31,1+'설정'!$C$14*'설정'!$E$22,1)/$D5)&lt;1,('설정'!$C$22*IF($A5&gt;=31,1+'설정'!$C$14*'설정'!$E$22,1)/$D5)^(-'설정'!$C$6),('설정'!$C$22*IF($A5&gt;=31,1+'설정'!$C$14*'설정'!$E$22,1)/$D5)^(-'설정'!$C$7))&gt;('설정'!$C$4+'설정'!$F$22),"실패",ROUND($E5*'설정'!$C$5*IF(('설정'!$C$22*IF($A5&gt;=31,1+'설정'!$C$14*'설정'!$E$22,1)/$D5)&lt;1,('설정'!$C$22*IF($A5&gt;=31,1+'설정'!$C$14*'설정'!$E$22,1)/$D5)^(-'설정'!$C$6),('설정'!$C$22*IF($A5&gt;=31,1+'설정'!$C$14*'설정'!$E$22,1)/$D5)^(-'설정'!$C$7)),0))</f>
        <v/>
      </c>
      <c r="I5" s="8">
        <f>IF($E5*'설정'!$C$5*IF(('설정'!$C$23*IF($A5&gt;=31,1+'설정'!$C$14*'설정'!$E$23,1)/$D5)&lt;1,('설정'!$C$23*IF($A5&gt;=31,1+'설정'!$C$14*'설정'!$E$23,1)/$D5)^(-'설정'!$C$6),('설정'!$C$23*IF($A5&gt;=31,1+'설정'!$C$14*'설정'!$E$23,1)/$D5)^(-'설정'!$C$7))&gt;('설정'!$C$4+'설정'!$F$23),"실패",ROUND($E5*'설정'!$C$5*IF(('설정'!$C$23*IF($A5&gt;=31,1+'설정'!$C$14*'설정'!$E$23,1)/$D5)&lt;1,('설정'!$C$23*IF($A5&gt;=31,1+'설정'!$C$14*'설정'!$E$23,1)/$D5)^(-'설정'!$C$6),('설정'!$C$23*IF($A5&gt;=31,1+'설정'!$C$14*'설정'!$E$23,1)/$D5)^(-'설정'!$C$7)),0))</f>
        <v/>
      </c>
      <c r="J5" s="8">
        <f>IF($E5*'설정'!$C$5*IF(('설정'!$C$24*IF($A5&gt;=31,1+'설정'!$C$14*'설정'!$E$24,1)/$D5)&lt;1,('설정'!$C$24*IF($A5&gt;=31,1+'설정'!$C$14*'설정'!$E$24,1)/$D5)^(-'설정'!$C$6),('설정'!$C$24*IF($A5&gt;=31,1+'설정'!$C$14*'설정'!$E$24,1)/$D5)^(-'설정'!$C$7))&gt;('설정'!$C$4+'설정'!$F$24),"실패",ROUND($E5*'설정'!$C$5*IF(('설정'!$C$24*IF($A5&gt;=31,1+'설정'!$C$14*'설정'!$E$24,1)/$D5)&lt;1,('설정'!$C$24*IF($A5&gt;=31,1+'설정'!$C$14*'설정'!$E$24,1)/$D5)^(-'설정'!$C$6),('설정'!$C$24*IF($A5&gt;=31,1+'설정'!$C$14*'설정'!$E$24,1)/$D5)^(-'설정'!$C$7)),0))</f>
        <v/>
      </c>
      <c r="K5" s="8">
        <f>IF($E5*'설정'!$C$5*IF(('설정'!$C$25*IF($A5&gt;=31,1+'설정'!$C$14*'설정'!$E$25,1)/$D5)&lt;1,('설정'!$C$25*IF($A5&gt;=31,1+'설정'!$C$14*'설정'!$E$25,1)/$D5)^(-'설정'!$C$6),('설정'!$C$25*IF($A5&gt;=31,1+'설정'!$C$14*'설정'!$E$25,1)/$D5)^(-'설정'!$C$7))&gt;('설정'!$C$4+'설정'!$F$25),"실패",ROUND($E5*'설정'!$C$5*IF(('설정'!$C$25*IF($A5&gt;=31,1+'설정'!$C$14*'설정'!$E$25,1)/$D5)&lt;1,('설정'!$C$25*IF($A5&gt;=31,1+'설정'!$C$14*'설정'!$E$25,1)/$D5)^(-'설정'!$C$6),('설정'!$C$25*IF($A5&gt;=31,1+'설정'!$C$14*'설정'!$E$25,1)/$D5)^(-'설정'!$C$7)),0))</f>
        <v/>
      </c>
      <c r="L5" s="8">
        <f>IF($E5*'설정'!$C$5*IF(('설정'!$C$26*IF($A5&gt;=31,1+'설정'!$C$14*'설정'!$E$26,1)/$D5)&lt;1,('설정'!$C$26*IF($A5&gt;=31,1+'설정'!$C$14*'설정'!$E$26,1)/$D5)^(-'설정'!$C$6),('설정'!$C$26*IF($A5&gt;=31,1+'설정'!$C$14*'설정'!$E$26,1)/$D5)^(-'설정'!$C$7))&gt;('설정'!$C$4+'설정'!$F$26),"실패",ROUND($E5*'설정'!$C$5*IF(('설정'!$C$26*IF($A5&gt;=31,1+'설정'!$C$14*'설정'!$E$26,1)/$D5)&lt;1,('설정'!$C$26*IF($A5&gt;=31,1+'설정'!$C$14*'설정'!$E$26,1)/$D5)^(-'설정'!$C$6),('설정'!$C$26*IF($A5&gt;=31,1+'설정'!$C$14*'설정'!$E$26,1)/$D5)^(-'설정'!$C$7)),0))</f>
        <v/>
      </c>
      <c r="M5" s="8">
        <f>IF($E5*'설정'!$C$5*IF(('설정'!$C$27*IF($A5&gt;=31,1+'설정'!$C$14*'설정'!$E$27,1)/$D5)&lt;1,('설정'!$C$27*IF($A5&gt;=31,1+'설정'!$C$14*'설정'!$E$27,1)/$D5)^(-'설정'!$C$6),('설정'!$C$27*IF($A5&gt;=31,1+'설정'!$C$14*'설정'!$E$27,1)/$D5)^(-'설정'!$C$7))&gt;('설정'!$C$4+'설정'!$F$27),"실패",ROUND($E5*'설정'!$C$5*IF(('설정'!$C$27*IF($A5&gt;=31,1+'설정'!$C$14*'설정'!$E$27,1)/$D5)&lt;1,('설정'!$C$27*IF($A5&gt;=31,1+'설정'!$C$14*'설정'!$E$27,1)/$D5)^(-'설정'!$C$6),('설정'!$C$27*IF($A5&gt;=31,1+'설정'!$C$14*'설정'!$E$27,1)/$D5)^(-'설정'!$C$7)),0))</f>
        <v/>
      </c>
      <c r="N5" s="8">
        <f>IF($E5*'설정'!$C$5*IF(('설정'!$C$28*IF($A5&gt;=31,1+'설정'!$C$14*'설정'!$E$28,1)/$D5)&lt;1,('설정'!$C$28*IF($A5&gt;=31,1+'설정'!$C$14*'설정'!$E$28,1)/$D5)^(-'설정'!$C$6),('설정'!$C$28*IF($A5&gt;=31,1+'설정'!$C$14*'설정'!$E$28,1)/$D5)^(-'설정'!$C$7))&gt;('설정'!$C$4+'설정'!$F$28),"실패",ROUND($E5*'설정'!$C$5*IF(('설정'!$C$28*IF($A5&gt;=31,1+'설정'!$C$14*'설정'!$E$28,1)/$D5)&lt;1,('설정'!$C$28*IF($A5&gt;=31,1+'설정'!$C$14*'설정'!$E$28,1)/$D5)^(-'설정'!$C$6),('설정'!$C$28*IF($A5&gt;=31,1+'설정'!$C$14*'설정'!$E$28,1)/$D5)^(-'설정'!$C$7)),0))</f>
        <v/>
      </c>
      <c r="O5" s="8">
        <f>IF($E5*'설정'!$C$5*IF(('설정'!$C$29*IF($A5&gt;=31,1+'설정'!$C$14*'설정'!$E$29,1)/$D5)&lt;1,('설정'!$C$29*IF($A5&gt;=31,1+'설정'!$C$14*'설정'!$E$29,1)/$D5)^(-'설정'!$C$6),('설정'!$C$29*IF($A5&gt;=31,1+'설정'!$C$14*'설정'!$E$29,1)/$D5)^(-'설정'!$C$7))&gt;('설정'!$C$4+'설정'!$F$29),"실패",ROUND($E5*'설정'!$C$5*IF(('설정'!$C$29*IF($A5&gt;=31,1+'설정'!$C$14*'설정'!$E$29,1)/$D5)&lt;1,('설정'!$C$29*IF($A5&gt;=31,1+'설정'!$C$14*'설정'!$E$29,1)/$D5)^(-'설정'!$C$6),('설정'!$C$29*IF($A5&gt;=31,1+'설정'!$C$14*'설정'!$E$29,1)/$D5)^(-'설정'!$C$7)),0))</f>
        <v/>
      </c>
      <c r="P5" s="8">
        <f>IF($E5*'설정'!$C$5*IF(('설정'!$C$30*IF($A5&gt;=31,1+'설정'!$C$14*'설정'!$E$30,1)/$D5)&lt;1,('설정'!$C$30*IF($A5&gt;=31,1+'설정'!$C$14*'설정'!$E$30,1)/$D5)^(-'설정'!$C$6),('설정'!$C$30*IF($A5&gt;=31,1+'설정'!$C$14*'설정'!$E$30,1)/$D5)^(-'설정'!$C$7))&gt;('설정'!$C$4+'설정'!$F$30),"실패",ROUND($E5*'설정'!$C$5*IF(('설정'!$C$30*IF($A5&gt;=31,1+'설정'!$C$14*'설정'!$E$30,1)/$D5)&lt;1,('설정'!$C$30*IF($A5&gt;=31,1+'설정'!$C$14*'설정'!$E$30,1)/$D5)^(-'설정'!$C$6),('설정'!$C$30*IF($A5&gt;=31,1+'설정'!$C$14*'설정'!$E$30,1)/$D5)^(-'설정'!$C$7)),0))</f>
        <v/>
      </c>
      <c r="Q5" s="8">
        <f>IF($E5*'설정'!$C$5*IF(('설정'!$C$31*IF($A5&gt;=31,1+'설정'!$C$14*'설정'!$E$31,1)/$D5)&lt;1,('설정'!$C$31*IF($A5&gt;=31,1+'설정'!$C$14*'설정'!$E$31,1)/$D5)^(-'설정'!$C$6),('설정'!$C$31*IF($A5&gt;=31,1+'설정'!$C$14*'설정'!$E$31,1)/$D5)^(-'설정'!$C$7))&gt;('설정'!$C$4+'설정'!$F$31),"실패",ROUND($E5*'설정'!$C$5*IF(('설정'!$C$31*IF($A5&gt;=31,1+'설정'!$C$14*'설정'!$E$31,1)/$D5)&lt;1,('설정'!$C$31*IF($A5&gt;=31,1+'설정'!$C$14*'설정'!$E$31,1)/$D5)^(-'설정'!$C$6),('설정'!$C$31*IF($A5&gt;=31,1+'설정'!$C$14*'설정'!$E$31,1)/$D5)^(-'설정'!$C$7)),0))</f>
        <v/>
      </c>
      <c r="R5" s="8">
        <f>IF($E5*'설정'!$C$5*IF(('설정'!$C$32*IF($A5&gt;=31,1+'설정'!$C$14*'설정'!$E$32,1)/$D5)&lt;1,('설정'!$C$32*IF($A5&gt;=31,1+'설정'!$C$14*'설정'!$E$32,1)/$D5)^(-'설정'!$C$6),('설정'!$C$32*IF($A5&gt;=31,1+'설정'!$C$14*'설정'!$E$32,1)/$D5)^(-'설정'!$C$7))&gt;('설정'!$C$4+'설정'!$F$32),"실패",ROUND($E5*'설정'!$C$5*IF(('설정'!$C$32*IF($A5&gt;=31,1+'설정'!$C$14*'설정'!$E$32,1)/$D5)&lt;1,('설정'!$C$32*IF($A5&gt;=31,1+'설정'!$C$14*'설정'!$E$32,1)/$D5)^(-'설정'!$C$6),('설정'!$C$32*IF($A5&gt;=31,1+'설정'!$C$14*'설정'!$E$32,1)/$D5)^(-'설정'!$C$7)),0))</f>
        <v/>
      </c>
      <c r="S5" s="8">
        <f>IF($E5*'설정'!$C$5*IF(('설정'!$C$33*IF($A5&gt;=31,1+'설정'!$C$14*'설정'!$E$33,1)/$D5)&lt;1,('설정'!$C$33*IF($A5&gt;=31,1+'설정'!$C$14*'설정'!$E$33,1)/$D5)^(-'설정'!$C$6),('설정'!$C$33*IF($A5&gt;=31,1+'설정'!$C$14*'설정'!$E$33,1)/$D5)^(-'설정'!$C$7))&gt;('설정'!$C$4+'설정'!$F$33),"실패",ROUND($E5*'설정'!$C$5*IF(('설정'!$C$33*IF($A5&gt;=31,1+'설정'!$C$14*'설정'!$E$33,1)/$D5)&lt;1,('설정'!$C$33*IF($A5&gt;=31,1+'설정'!$C$14*'설정'!$E$33,1)/$D5)^(-'설정'!$C$6),('설정'!$C$33*IF($A5&gt;=31,1+'설정'!$C$14*'설정'!$E$33,1)/$D5)^(-'설정'!$C$7)),0))</f>
        <v/>
      </c>
      <c r="T5" s="8">
        <f>IF($E5*'설정'!$C$5*IF(('설정'!$C$34*IF($A5&gt;=31,1+'설정'!$C$14*'설정'!$E$34,1)/$D5)&lt;1,('설정'!$C$34*IF($A5&gt;=31,1+'설정'!$C$14*'설정'!$E$34,1)/$D5)^(-'설정'!$C$6),('설정'!$C$34*IF($A5&gt;=31,1+'설정'!$C$14*'설정'!$E$34,1)/$D5)^(-'설정'!$C$7))&gt;('설정'!$C$4+'설정'!$F$34),"실패",ROUND($E5*'설정'!$C$5*IF(('설정'!$C$34*IF($A5&gt;=31,1+'설정'!$C$14*'설정'!$E$34,1)/$D5)&lt;1,('설정'!$C$34*IF($A5&gt;=31,1+'설정'!$C$14*'설정'!$E$34,1)/$D5)^(-'설정'!$C$6),('설정'!$C$34*IF($A5&gt;=31,1+'설정'!$C$14*'설정'!$E$34,1)/$D5)^(-'설정'!$C$7)),0))</f>
        <v/>
      </c>
      <c r="U5" s="8">
        <f>IF($E5*'설정'!$C$5*IF(('설정'!$C$35*IF($A5&gt;=31,1+'설정'!$C$14*'설정'!$E$35,1)/$D5)&lt;1,('설정'!$C$35*IF($A5&gt;=31,1+'설정'!$C$14*'설정'!$E$35,1)/$D5)^(-'설정'!$C$6),('설정'!$C$35*IF($A5&gt;=31,1+'설정'!$C$14*'설정'!$E$35,1)/$D5)^(-'설정'!$C$7))&gt;('설정'!$C$4+'설정'!$F$35),"실패",ROUND($E5*'설정'!$C$5*IF(('설정'!$C$35*IF($A5&gt;=31,1+'설정'!$C$14*'설정'!$E$35,1)/$D5)&lt;1,('설정'!$C$35*IF($A5&gt;=31,1+'설정'!$C$14*'설정'!$E$35,1)/$D5)^(-'설정'!$C$6),('설정'!$C$35*IF($A5&gt;=31,1+'설정'!$C$14*'설정'!$E$35,1)/$D5)^(-'설정'!$C$7)),0))</f>
        <v/>
      </c>
      <c r="V5" s="8">
        <f>IF($E5*'설정'!$C$5*IF(('설정'!$C$36*IF($A5&gt;=31,1+'설정'!$C$14*'설정'!$E$36,1)/$D5)&lt;1,('설정'!$C$36*IF($A5&gt;=31,1+'설정'!$C$14*'설정'!$E$36,1)/$D5)^(-'설정'!$C$6),('설정'!$C$36*IF($A5&gt;=31,1+'설정'!$C$14*'설정'!$E$36,1)/$D5)^(-'설정'!$C$7))&gt;('설정'!$C$4+'설정'!$F$36),"실패",ROUND($E5*'설정'!$C$5*IF(('설정'!$C$36*IF($A5&gt;=31,1+'설정'!$C$14*'설정'!$E$36,1)/$D5)&lt;1,('설정'!$C$36*IF($A5&gt;=31,1+'설정'!$C$14*'설정'!$E$36,1)/$D5)^(-'설정'!$C$6),('설정'!$C$36*IF($A5&gt;=31,1+'설정'!$C$14*'설정'!$E$36,1)/$D5)^(-'설정'!$C$7)),0))</f>
        <v/>
      </c>
      <c r="W5" s="8">
        <f>IF($E5*'설정'!$C$5*IF(('설정'!$C$37*IF($A5&gt;=31,1+'설정'!$C$14*'설정'!$E$37,1)/$D5)&lt;1,('설정'!$C$37*IF($A5&gt;=31,1+'설정'!$C$14*'설정'!$E$37,1)/$D5)^(-'설정'!$C$6),('설정'!$C$37*IF($A5&gt;=31,1+'설정'!$C$14*'설정'!$E$37,1)/$D5)^(-'설정'!$C$7))&gt;('설정'!$C$4+'설정'!$F$37),"실패",ROUND($E5*'설정'!$C$5*IF(('설정'!$C$37*IF($A5&gt;=31,1+'설정'!$C$14*'설정'!$E$37,1)/$D5)&lt;1,('설정'!$C$37*IF($A5&gt;=31,1+'설정'!$C$14*'설정'!$E$37,1)/$D5)^(-'설정'!$C$6),('설정'!$C$37*IF($A5&gt;=31,1+'설정'!$C$14*'설정'!$E$37,1)/$D5)^(-'설정'!$C$7)),0))</f>
        <v/>
      </c>
    </row>
    <row r="6">
      <c r="A6" t="n">
        <v>4</v>
      </c>
      <c r="B6" t="inlineStr">
        <is>
          <t>쉬움</t>
        </is>
      </c>
      <c r="C6" t="inlineStr"/>
      <c r="D6" s="6" t="n">
        <v>781</v>
      </c>
      <c r="E6" t="n">
        <v>72</v>
      </c>
      <c r="F6" s="6" t="n">
        <v>15.62</v>
      </c>
      <c r="G6" t="n">
        <v>1</v>
      </c>
      <c r="H6" s="8">
        <f>IF($E6*'설정'!$C$5*IF(('설정'!$C$22*IF($A6&gt;=31,1+'설정'!$C$14*'설정'!$E$22,1)/$D6)&lt;1,('설정'!$C$22*IF($A6&gt;=31,1+'설정'!$C$14*'설정'!$E$22,1)/$D6)^(-'설정'!$C$6),('설정'!$C$22*IF($A6&gt;=31,1+'설정'!$C$14*'설정'!$E$22,1)/$D6)^(-'설정'!$C$7))&gt;('설정'!$C$4+'설정'!$F$22),"실패",ROUND($E6*'설정'!$C$5*IF(('설정'!$C$22*IF($A6&gt;=31,1+'설정'!$C$14*'설정'!$E$22,1)/$D6)&lt;1,('설정'!$C$22*IF($A6&gt;=31,1+'설정'!$C$14*'설정'!$E$22,1)/$D6)^(-'설정'!$C$6),('설정'!$C$22*IF($A6&gt;=31,1+'설정'!$C$14*'설정'!$E$22,1)/$D6)^(-'설정'!$C$7)),0))</f>
        <v/>
      </c>
      <c r="I6" s="8">
        <f>IF($E6*'설정'!$C$5*IF(('설정'!$C$23*IF($A6&gt;=31,1+'설정'!$C$14*'설정'!$E$23,1)/$D6)&lt;1,('설정'!$C$23*IF($A6&gt;=31,1+'설정'!$C$14*'설정'!$E$23,1)/$D6)^(-'설정'!$C$6),('설정'!$C$23*IF($A6&gt;=31,1+'설정'!$C$14*'설정'!$E$23,1)/$D6)^(-'설정'!$C$7))&gt;('설정'!$C$4+'설정'!$F$23),"실패",ROUND($E6*'설정'!$C$5*IF(('설정'!$C$23*IF($A6&gt;=31,1+'설정'!$C$14*'설정'!$E$23,1)/$D6)&lt;1,('설정'!$C$23*IF($A6&gt;=31,1+'설정'!$C$14*'설정'!$E$23,1)/$D6)^(-'설정'!$C$6),('설정'!$C$23*IF($A6&gt;=31,1+'설정'!$C$14*'설정'!$E$23,1)/$D6)^(-'설정'!$C$7)),0))</f>
        <v/>
      </c>
      <c r="J6" s="8">
        <f>IF($E6*'설정'!$C$5*IF(('설정'!$C$24*IF($A6&gt;=31,1+'설정'!$C$14*'설정'!$E$24,1)/$D6)&lt;1,('설정'!$C$24*IF($A6&gt;=31,1+'설정'!$C$14*'설정'!$E$24,1)/$D6)^(-'설정'!$C$6),('설정'!$C$24*IF($A6&gt;=31,1+'설정'!$C$14*'설정'!$E$24,1)/$D6)^(-'설정'!$C$7))&gt;('설정'!$C$4+'설정'!$F$24),"실패",ROUND($E6*'설정'!$C$5*IF(('설정'!$C$24*IF($A6&gt;=31,1+'설정'!$C$14*'설정'!$E$24,1)/$D6)&lt;1,('설정'!$C$24*IF($A6&gt;=31,1+'설정'!$C$14*'설정'!$E$24,1)/$D6)^(-'설정'!$C$6),('설정'!$C$24*IF($A6&gt;=31,1+'설정'!$C$14*'설정'!$E$24,1)/$D6)^(-'설정'!$C$7)),0))</f>
        <v/>
      </c>
      <c r="K6" s="8">
        <f>IF($E6*'설정'!$C$5*IF(('설정'!$C$25*IF($A6&gt;=31,1+'설정'!$C$14*'설정'!$E$25,1)/$D6)&lt;1,('설정'!$C$25*IF($A6&gt;=31,1+'설정'!$C$14*'설정'!$E$25,1)/$D6)^(-'설정'!$C$6),('설정'!$C$25*IF($A6&gt;=31,1+'설정'!$C$14*'설정'!$E$25,1)/$D6)^(-'설정'!$C$7))&gt;('설정'!$C$4+'설정'!$F$25),"실패",ROUND($E6*'설정'!$C$5*IF(('설정'!$C$25*IF($A6&gt;=31,1+'설정'!$C$14*'설정'!$E$25,1)/$D6)&lt;1,('설정'!$C$25*IF($A6&gt;=31,1+'설정'!$C$14*'설정'!$E$25,1)/$D6)^(-'설정'!$C$6),('설정'!$C$25*IF($A6&gt;=31,1+'설정'!$C$14*'설정'!$E$25,1)/$D6)^(-'설정'!$C$7)),0))</f>
        <v/>
      </c>
      <c r="L6" s="8">
        <f>IF($E6*'설정'!$C$5*IF(('설정'!$C$26*IF($A6&gt;=31,1+'설정'!$C$14*'설정'!$E$26,1)/$D6)&lt;1,('설정'!$C$26*IF($A6&gt;=31,1+'설정'!$C$14*'설정'!$E$26,1)/$D6)^(-'설정'!$C$6),('설정'!$C$26*IF($A6&gt;=31,1+'설정'!$C$14*'설정'!$E$26,1)/$D6)^(-'설정'!$C$7))&gt;('설정'!$C$4+'설정'!$F$26),"실패",ROUND($E6*'설정'!$C$5*IF(('설정'!$C$26*IF($A6&gt;=31,1+'설정'!$C$14*'설정'!$E$26,1)/$D6)&lt;1,('설정'!$C$26*IF($A6&gt;=31,1+'설정'!$C$14*'설정'!$E$26,1)/$D6)^(-'설정'!$C$6),('설정'!$C$26*IF($A6&gt;=31,1+'설정'!$C$14*'설정'!$E$26,1)/$D6)^(-'설정'!$C$7)),0))</f>
        <v/>
      </c>
      <c r="M6" s="8">
        <f>IF($E6*'설정'!$C$5*IF(('설정'!$C$27*IF($A6&gt;=31,1+'설정'!$C$14*'설정'!$E$27,1)/$D6)&lt;1,('설정'!$C$27*IF($A6&gt;=31,1+'설정'!$C$14*'설정'!$E$27,1)/$D6)^(-'설정'!$C$6),('설정'!$C$27*IF($A6&gt;=31,1+'설정'!$C$14*'설정'!$E$27,1)/$D6)^(-'설정'!$C$7))&gt;('설정'!$C$4+'설정'!$F$27),"실패",ROUND($E6*'설정'!$C$5*IF(('설정'!$C$27*IF($A6&gt;=31,1+'설정'!$C$14*'설정'!$E$27,1)/$D6)&lt;1,('설정'!$C$27*IF($A6&gt;=31,1+'설정'!$C$14*'설정'!$E$27,1)/$D6)^(-'설정'!$C$6),('설정'!$C$27*IF($A6&gt;=31,1+'설정'!$C$14*'설정'!$E$27,1)/$D6)^(-'설정'!$C$7)),0))</f>
        <v/>
      </c>
      <c r="N6" s="8">
        <f>IF($E6*'설정'!$C$5*IF(('설정'!$C$28*IF($A6&gt;=31,1+'설정'!$C$14*'설정'!$E$28,1)/$D6)&lt;1,('설정'!$C$28*IF($A6&gt;=31,1+'설정'!$C$14*'설정'!$E$28,1)/$D6)^(-'설정'!$C$6),('설정'!$C$28*IF($A6&gt;=31,1+'설정'!$C$14*'설정'!$E$28,1)/$D6)^(-'설정'!$C$7))&gt;('설정'!$C$4+'설정'!$F$28),"실패",ROUND($E6*'설정'!$C$5*IF(('설정'!$C$28*IF($A6&gt;=31,1+'설정'!$C$14*'설정'!$E$28,1)/$D6)&lt;1,('설정'!$C$28*IF($A6&gt;=31,1+'설정'!$C$14*'설정'!$E$28,1)/$D6)^(-'설정'!$C$6),('설정'!$C$28*IF($A6&gt;=31,1+'설정'!$C$14*'설정'!$E$28,1)/$D6)^(-'설정'!$C$7)),0))</f>
        <v/>
      </c>
      <c r="O6" s="8">
        <f>IF($E6*'설정'!$C$5*IF(('설정'!$C$29*IF($A6&gt;=31,1+'설정'!$C$14*'설정'!$E$29,1)/$D6)&lt;1,('설정'!$C$29*IF($A6&gt;=31,1+'설정'!$C$14*'설정'!$E$29,1)/$D6)^(-'설정'!$C$6),('설정'!$C$29*IF($A6&gt;=31,1+'설정'!$C$14*'설정'!$E$29,1)/$D6)^(-'설정'!$C$7))&gt;('설정'!$C$4+'설정'!$F$29),"실패",ROUND($E6*'설정'!$C$5*IF(('설정'!$C$29*IF($A6&gt;=31,1+'설정'!$C$14*'설정'!$E$29,1)/$D6)&lt;1,('설정'!$C$29*IF($A6&gt;=31,1+'설정'!$C$14*'설정'!$E$29,1)/$D6)^(-'설정'!$C$6),('설정'!$C$29*IF($A6&gt;=31,1+'설정'!$C$14*'설정'!$E$29,1)/$D6)^(-'설정'!$C$7)),0))</f>
        <v/>
      </c>
      <c r="P6" s="8">
        <f>IF($E6*'설정'!$C$5*IF(('설정'!$C$30*IF($A6&gt;=31,1+'설정'!$C$14*'설정'!$E$30,1)/$D6)&lt;1,('설정'!$C$30*IF($A6&gt;=31,1+'설정'!$C$14*'설정'!$E$30,1)/$D6)^(-'설정'!$C$6),('설정'!$C$30*IF($A6&gt;=31,1+'설정'!$C$14*'설정'!$E$30,1)/$D6)^(-'설정'!$C$7))&gt;('설정'!$C$4+'설정'!$F$30),"실패",ROUND($E6*'설정'!$C$5*IF(('설정'!$C$30*IF($A6&gt;=31,1+'설정'!$C$14*'설정'!$E$30,1)/$D6)&lt;1,('설정'!$C$30*IF($A6&gt;=31,1+'설정'!$C$14*'설정'!$E$30,1)/$D6)^(-'설정'!$C$6),('설정'!$C$30*IF($A6&gt;=31,1+'설정'!$C$14*'설정'!$E$30,1)/$D6)^(-'설정'!$C$7)),0))</f>
        <v/>
      </c>
      <c r="Q6" s="8">
        <f>IF($E6*'설정'!$C$5*IF(('설정'!$C$31*IF($A6&gt;=31,1+'설정'!$C$14*'설정'!$E$31,1)/$D6)&lt;1,('설정'!$C$31*IF($A6&gt;=31,1+'설정'!$C$14*'설정'!$E$31,1)/$D6)^(-'설정'!$C$6),('설정'!$C$31*IF($A6&gt;=31,1+'설정'!$C$14*'설정'!$E$31,1)/$D6)^(-'설정'!$C$7))&gt;('설정'!$C$4+'설정'!$F$31),"실패",ROUND($E6*'설정'!$C$5*IF(('설정'!$C$31*IF($A6&gt;=31,1+'설정'!$C$14*'설정'!$E$31,1)/$D6)&lt;1,('설정'!$C$31*IF($A6&gt;=31,1+'설정'!$C$14*'설정'!$E$31,1)/$D6)^(-'설정'!$C$6),('설정'!$C$31*IF($A6&gt;=31,1+'설정'!$C$14*'설정'!$E$31,1)/$D6)^(-'설정'!$C$7)),0))</f>
        <v/>
      </c>
      <c r="R6" s="8">
        <f>IF($E6*'설정'!$C$5*IF(('설정'!$C$32*IF($A6&gt;=31,1+'설정'!$C$14*'설정'!$E$32,1)/$D6)&lt;1,('설정'!$C$32*IF($A6&gt;=31,1+'설정'!$C$14*'설정'!$E$32,1)/$D6)^(-'설정'!$C$6),('설정'!$C$32*IF($A6&gt;=31,1+'설정'!$C$14*'설정'!$E$32,1)/$D6)^(-'설정'!$C$7))&gt;('설정'!$C$4+'설정'!$F$32),"실패",ROUND($E6*'설정'!$C$5*IF(('설정'!$C$32*IF($A6&gt;=31,1+'설정'!$C$14*'설정'!$E$32,1)/$D6)&lt;1,('설정'!$C$32*IF($A6&gt;=31,1+'설정'!$C$14*'설정'!$E$32,1)/$D6)^(-'설정'!$C$6),('설정'!$C$32*IF($A6&gt;=31,1+'설정'!$C$14*'설정'!$E$32,1)/$D6)^(-'설정'!$C$7)),0))</f>
        <v/>
      </c>
      <c r="S6" s="8">
        <f>IF($E6*'설정'!$C$5*IF(('설정'!$C$33*IF($A6&gt;=31,1+'설정'!$C$14*'설정'!$E$33,1)/$D6)&lt;1,('설정'!$C$33*IF($A6&gt;=31,1+'설정'!$C$14*'설정'!$E$33,1)/$D6)^(-'설정'!$C$6),('설정'!$C$33*IF($A6&gt;=31,1+'설정'!$C$14*'설정'!$E$33,1)/$D6)^(-'설정'!$C$7))&gt;('설정'!$C$4+'설정'!$F$33),"실패",ROUND($E6*'설정'!$C$5*IF(('설정'!$C$33*IF($A6&gt;=31,1+'설정'!$C$14*'설정'!$E$33,1)/$D6)&lt;1,('설정'!$C$33*IF($A6&gt;=31,1+'설정'!$C$14*'설정'!$E$33,1)/$D6)^(-'설정'!$C$6),('설정'!$C$33*IF($A6&gt;=31,1+'설정'!$C$14*'설정'!$E$33,1)/$D6)^(-'설정'!$C$7)),0))</f>
        <v/>
      </c>
      <c r="T6" s="8">
        <f>IF($E6*'설정'!$C$5*IF(('설정'!$C$34*IF($A6&gt;=31,1+'설정'!$C$14*'설정'!$E$34,1)/$D6)&lt;1,('설정'!$C$34*IF($A6&gt;=31,1+'설정'!$C$14*'설정'!$E$34,1)/$D6)^(-'설정'!$C$6),('설정'!$C$34*IF($A6&gt;=31,1+'설정'!$C$14*'설정'!$E$34,1)/$D6)^(-'설정'!$C$7))&gt;('설정'!$C$4+'설정'!$F$34),"실패",ROUND($E6*'설정'!$C$5*IF(('설정'!$C$34*IF($A6&gt;=31,1+'설정'!$C$14*'설정'!$E$34,1)/$D6)&lt;1,('설정'!$C$34*IF($A6&gt;=31,1+'설정'!$C$14*'설정'!$E$34,1)/$D6)^(-'설정'!$C$6),('설정'!$C$34*IF($A6&gt;=31,1+'설정'!$C$14*'설정'!$E$34,1)/$D6)^(-'설정'!$C$7)),0))</f>
        <v/>
      </c>
      <c r="U6" s="8">
        <f>IF($E6*'설정'!$C$5*IF(('설정'!$C$35*IF($A6&gt;=31,1+'설정'!$C$14*'설정'!$E$35,1)/$D6)&lt;1,('설정'!$C$35*IF($A6&gt;=31,1+'설정'!$C$14*'설정'!$E$35,1)/$D6)^(-'설정'!$C$6),('설정'!$C$35*IF($A6&gt;=31,1+'설정'!$C$14*'설정'!$E$35,1)/$D6)^(-'설정'!$C$7))&gt;('설정'!$C$4+'설정'!$F$35),"실패",ROUND($E6*'설정'!$C$5*IF(('설정'!$C$35*IF($A6&gt;=31,1+'설정'!$C$14*'설정'!$E$35,1)/$D6)&lt;1,('설정'!$C$35*IF($A6&gt;=31,1+'설정'!$C$14*'설정'!$E$35,1)/$D6)^(-'설정'!$C$6),('설정'!$C$35*IF($A6&gt;=31,1+'설정'!$C$14*'설정'!$E$35,1)/$D6)^(-'설정'!$C$7)),0))</f>
        <v/>
      </c>
      <c r="V6" s="8">
        <f>IF($E6*'설정'!$C$5*IF(('설정'!$C$36*IF($A6&gt;=31,1+'설정'!$C$14*'설정'!$E$36,1)/$D6)&lt;1,('설정'!$C$36*IF($A6&gt;=31,1+'설정'!$C$14*'설정'!$E$36,1)/$D6)^(-'설정'!$C$6),('설정'!$C$36*IF($A6&gt;=31,1+'설정'!$C$14*'설정'!$E$36,1)/$D6)^(-'설정'!$C$7))&gt;('설정'!$C$4+'설정'!$F$36),"실패",ROUND($E6*'설정'!$C$5*IF(('설정'!$C$36*IF($A6&gt;=31,1+'설정'!$C$14*'설정'!$E$36,1)/$D6)&lt;1,('설정'!$C$36*IF($A6&gt;=31,1+'설정'!$C$14*'설정'!$E$36,1)/$D6)^(-'설정'!$C$6),('설정'!$C$36*IF($A6&gt;=31,1+'설정'!$C$14*'설정'!$E$36,1)/$D6)^(-'설정'!$C$7)),0))</f>
        <v/>
      </c>
      <c r="W6" s="8">
        <f>IF($E6*'설정'!$C$5*IF(('설정'!$C$37*IF($A6&gt;=31,1+'설정'!$C$14*'설정'!$E$37,1)/$D6)&lt;1,('설정'!$C$37*IF($A6&gt;=31,1+'설정'!$C$14*'설정'!$E$37,1)/$D6)^(-'설정'!$C$6),('설정'!$C$37*IF($A6&gt;=31,1+'설정'!$C$14*'설정'!$E$37,1)/$D6)^(-'설정'!$C$7))&gt;('설정'!$C$4+'설정'!$F$37),"실패",ROUND($E6*'설정'!$C$5*IF(('설정'!$C$37*IF($A6&gt;=31,1+'설정'!$C$14*'설정'!$E$37,1)/$D6)&lt;1,('설정'!$C$37*IF($A6&gt;=31,1+'설정'!$C$14*'설정'!$E$37,1)/$D6)^(-'설정'!$C$6),('설정'!$C$37*IF($A6&gt;=31,1+'설정'!$C$14*'설정'!$E$37,1)/$D6)^(-'설정'!$C$7)),0))</f>
        <v/>
      </c>
    </row>
    <row r="7">
      <c r="A7" s="4" t="n">
        <v>5</v>
      </c>
      <c r="B7" s="4" t="inlineStr">
        <is>
          <t>허들</t>
        </is>
      </c>
      <c r="C7" s="4" t="inlineStr">
        <is>
          <t>보스</t>
        </is>
      </c>
      <c r="D7" s="9" t="n">
        <v>1410</v>
      </c>
      <c r="E7" s="4" t="n">
        <v>108</v>
      </c>
      <c r="F7" s="9" t="n">
        <v>28.12</v>
      </c>
      <c r="G7" s="4" t="n">
        <v>3</v>
      </c>
      <c r="H7" s="8">
        <f>IF($E7*'설정'!$C$5*IF(('설정'!$C$22*IF($A7&gt;=31,1+'설정'!$C$14*'설정'!$E$22,1)/$D7)&lt;1,('설정'!$C$22*IF($A7&gt;=31,1+'설정'!$C$14*'설정'!$E$22,1)/$D7)^(-'설정'!$C$6),('설정'!$C$22*IF($A7&gt;=31,1+'설정'!$C$14*'설정'!$E$22,1)/$D7)^(-'설정'!$C$7))&gt;('설정'!$C$4+'설정'!$F$22+'설정'!$G$22),"실패",ROUND($E7*'설정'!$C$5*IF(('설정'!$C$22*IF($A7&gt;=31,1+'설정'!$C$14*'설정'!$E$22,1)/$D7)&lt;1,('설정'!$C$22*IF($A7&gt;=31,1+'설정'!$C$14*'설정'!$E$22,1)/$D7)^(-'설정'!$C$6),('설정'!$C$22*IF($A7&gt;=31,1+'설정'!$C$14*'설정'!$E$22,1)/$D7)^(-'설정'!$C$7)),0))</f>
        <v/>
      </c>
      <c r="I7" s="8">
        <f>IF($E7*'설정'!$C$5*IF(('설정'!$C$23*IF($A7&gt;=31,1+'설정'!$C$14*'설정'!$E$23,1)/$D7)&lt;1,('설정'!$C$23*IF($A7&gt;=31,1+'설정'!$C$14*'설정'!$E$23,1)/$D7)^(-'설정'!$C$6),('설정'!$C$23*IF($A7&gt;=31,1+'설정'!$C$14*'설정'!$E$23,1)/$D7)^(-'설정'!$C$7))&gt;('설정'!$C$4+'설정'!$F$23+'설정'!$G$23),"실패",ROUND($E7*'설정'!$C$5*IF(('설정'!$C$23*IF($A7&gt;=31,1+'설정'!$C$14*'설정'!$E$23,1)/$D7)&lt;1,('설정'!$C$23*IF($A7&gt;=31,1+'설정'!$C$14*'설정'!$E$23,1)/$D7)^(-'설정'!$C$6),('설정'!$C$23*IF($A7&gt;=31,1+'설정'!$C$14*'설정'!$E$23,1)/$D7)^(-'설정'!$C$7)),0))</f>
        <v/>
      </c>
      <c r="J7" s="8">
        <f>IF($E7*'설정'!$C$5*IF(('설정'!$C$24*IF($A7&gt;=31,1+'설정'!$C$14*'설정'!$E$24,1)/$D7)&lt;1,('설정'!$C$24*IF($A7&gt;=31,1+'설정'!$C$14*'설정'!$E$24,1)/$D7)^(-'설정'!$C$6),('설정'!$C$24*IF($A7&gt;=31,1+'설정'!$C$14*'설정'!$E$24,1)/$D7)^(-'설정'!$C$7))&gt;('설정'!$C$4+'설정'!$F$24+'설정'!$G$24),"실패",ROUND($E7*'설정'!$C$5*IF(('설정'!$C$24*IF($A7&gt;=31,1+'설정'!$C$14*'설정'!$E$24,1)/$D7)&lt;1,('설정'!$C$24*IF($A7&gt;=31,1+'설정'!$C$14*'설정'!$E$24,1)/$D7)^(-'설정'!$C$6),('설정'!$C$24*IF($A7&gt;=31,1+'설정'!$C$14*'설정'!$E$24,1)/$D7)^(-'설정'!$C$7)),0))</f>
        <v/>
      </c>
      <c r="K7" s="8">
        <f>IF($E7*'설정'!$C$5*IF(('설정'!$C$25*IF($A7&gt;=31,1+'설정'!$C$14*'설정'!$E$25,1)/$D7)&lt;1,('설정'!$C$25*IF($A7&gt;=31,1+'설정'!$C$14*'설정'!$E$25,1)/$D7)^(-'설정'!$C$6),('설정'!$C$25*IF($A7&gt;=31,1+'설정'!$C$14*'설정'!$E$25,1)/$D7)^(-'설정'!$C$7))&gt;('설정'!$C$4+'설정'!$F$25+'설정'!$G$25),"실패",ROUND($E7*'설정'!$C$5*IF(('설정'!$C$25*IF($A7&gt;=31,1+'설정'!$C$14*'설정'!$E$25,1)/$D7)&lt;1,('설정'!$C$25*IF($A7&gt;=31,1+'설정'!$C$14*'설정'!$E$25,1)/$D7)^(-'설정'!$C$6),('설정'!$C$25*IF($A7&gt;=31,1+'설정'!$C$14*'설정'!$E$25,1)/$D7)^(-'설정'!$C$7)),0))</f>
        <v/>
      </c>
      <c r="L7" s="8">
        <f>IF($E7*'설정'!$C$5*IF(('설정'!$C$26*IF($A7&gt;=31,1+'설정'!$C$14*'설정'!$E$26,1)/$D7)&lt;1,('설정'!$C$26*IF($A7&gt;=31,1+'설정'!$C$14*'설정'!$E$26,1)/$D7)^(-'설정'!$C$6),('설정'!$C$26*IF($A7&gt;=31,1+'설정'!$C$14*'설정'!$E$26,1)/$D7)^(-'설정'!$C$7))&gt;('설정'!$C$4+'설정'!$F$26+'설정'!$G$26),"실패",ROUND($E7*'설정'!$C$5*IF(('설정'!$C$26*IF($A7&gt;=31,1+'설정'!$C$14*'설정'!$E$26,1)/$D7)&lt;1,('설정'!$C$26*IF($A7&gt;=31,1+'설정'!$C$14*'설정'!$E$26,1)/$D7)^(-'설정'!$C$6),('설정'!$C$26*IF($A7&gt;=31,1+'설정'!$C$14*'설정'!$E$26,1)/$D7)^(-'설정'!$C$7)),0))</f>
        <v/>
      </c>
      <c r="M7" s="8">
        <f>IF($E7*'설정'!$C$5*IF(('설정'!$C$27*IF($A7&gt;=31,1+'설정'!$C$14*'설정'!$E$27,1)/$D7)&lt;1,('설정'!$C$27*IF($A7&gt;=31,1+'설정'!$C$14*'설정'!$E$27,1)/$D7)^(-'설정'!$C$6),('설정'!$C$27*IF($A7&gt;=31,1+'설정'!$C$14*'설정'!$E$27,1)/$D7)^(-'설정'!$C$7))&gt;('설정'!$C$4+'설정'!$F$27+'설정'!$G$27),"실패",ROUND($E7*'설정'!$C$5*IF(('설정'!$C$27*IF($A7&gt;=31,1+'설정'!$C$14*'설정'!$E$27,1)/$D7)&lt;1,('설정'!$C$27*IF($A7&gt;=31,1+'설정'!$C$14*'설정'!$E$27,1)/$D7)^(-'설정'!$C$6),('설정'!$C$27*IF($A7&gt;=31,1+'설정'!$C$14*'설정'!$E$27,1)/$D7)^(-'설정'!$C$7)),0))</f>
        <v/>
      </c>
      <c r="N7" s="8">
        <f>IF($E7*'설정'!$C$5*IF(('설정'!$C$28*IF($A7&gt;=31,1+'설정'!$C$14*'설정'!$E$28,1)/$D7)&lt;1,('설정'!$C$28*IF($A7&gt;=31,1+'설정'!$C$14*'설정'!$E$28,1)/$D7)^(-'설정'!$C$6),('설정'!$C$28*IF($A7&gt;=31,1+'설정'!$C$14*'설정'!$E$28,1)/$D7)^(-'설정'!$C$7))&gt;('설정'!$C$4+'설정'!$F$28+'설정'!$G$28),"실패",ROUND($E7*'설정'!$C$5*IF(('설정'!$C$28*IF($A7&gt;=31,1+'설정'!$C$14*'설정'!$E$28,1)/$D7)&lt;1,('설정'!$C$28*IF($A7&gt;=31,1+'설정'!$C$14*'설정'!$E$28,1)/$D7)^(-'설정'!$C$6),('설정'!$C$28*IF($A7&gt;=31,1+'설정'!$C$14*'설정'!$E$28,1)/$D7)^(-'설정'!$C$7)),0))</f>
        <v/>
      </c>
      <c r="O7" s="8">
        <f>IF($E7*'설정'!$C$5*IF(('설정'!$C$29*IF($A7&gt;=31,1+'설정'!$C$14*'설정'!$E$29,1)/$D7)&lt;1,('설정'!$C$29*IF($A7&gt;=31,1+'설정'!$C$14*'설정'!$E$29,1)/$D7)^(-'설정'!$C$6),('설정'!$C$29*IF($A7&gt;=31,1+'설정'!$C$14*'설정'!$E$29,1)/$D7)^(-'설정'!$C$7))&gt;('설정'!$C$4+'설정'!$F$29+'설정'!$G$29),"실패",ROUND($E7*'설정'!$C$5*IF(('설정'!$C$29*IF($A7&gt;=31,1+'설정'!$C$14*'설정'!$E$29,1)/$D7)&lt;1,('설정'!$C$29*IF($A7&gt;=31,1+'설정'!$C$14*'설정'!$E$29,1)/$D7)^(-'설정'!$C$6),('설정'!$C$29*IF($A7&gt;=31,1+'설정'!$C$14*'설정'!$E$29,1)/$D7)^(-'설정'!$C$7)),0))</f>
        <v/>
      </c>
      <c r="P7" s="8">
        <f>IF($E7*'설정'!$C$5*IF(('설정'!$C$30*IF($A7&gt;=31,1+'설정'!$C$14*'설정'!$E$30,1)/$D7)&lt;1,('설정'!$C$30*IF($A7&gt;=31,1+'설정'!$C$14*'설정'!$E$30,1)/$D7)^(-'설정'!$C$6),('설정'!$C$30*IF($A7&gt;=31,1+'설정'!$C$14*'설정'!$E$30,1)/$D7)^(-'설정'!$C$7))&gt;('설정'!$C$4+'설정'!$F$30+'설정'!$G$30),"실패",ROUND($E7*'설정'!$C$5*IF(('설정'!$C$30*IF($A7&gt;=31,1+'설정'!$C$14*'설정'!$E$30,1)/$D7)&lt;1,('설정'!$C$30*IF($A7&gt;=31,1+'설정'!$C$14*'설정'!$E$30,1)/$D7)^(-'설정'!$C$6),('설정'!$C$30*IF($A7&gt;=31,1+'설정'!$C$14*'설정'!$E$30,1)/$D7)^(-'설정'!$C$7)),0))</f>
        <v/>
      </c>
      <c r="Q7" s="8">
        <f>IF($E7*'설정'!$C$5*IF(('설정'!$C$31*IF($A7&gt;=31,1+'설정'!$C$14*'설정'!$E$31,1)/$D7)&lt;1,('설정'!$C$31*IF($A7&gt;=31,1+'설정'!$C$14*'설정'!$E$31,1)/$D7)^(-'설정'!$C$6),('설정'!$C$31*IF($A7&gt;=31,1+'설정'!$C$14*'설정'!$E$31,1)/$D7)^(-'설정'!$C$7))&gt;('설정'!$C$4+'설정'!$F$31+'설정'!$G$31),"실패",ROUND($E7*'설정'!$C$5*IF(('설정'!$C$31*IF($A7&gt;=31,1+'설정'!$C$14*'설정'!$E$31,1)/$D7)&lt;1,('설정'!$C$31*IF($A7&gt;=31,1+'설정'!$C$14*'설정'!$E$31,1)/$D7)^(-'설정'!$C$6),('설정'!$C$31*IF($A7&gt;=31,1+'설정'!$C$14*'설정'!$E$31,1)/$D7)^(-'설정'!$C$7)),0))</f>
        <v/>
      </c>
      <c r="R7" s="8">
        <f>IF($E7*'설정'!$C$5*IF(('설정'!$C$32*IF($A7&gt;=31,1+'설정'!$C$14*'설정'!$E$32,1)/$D7)&lt;1,('설정'!$C$32*IF($A7&gt;=31,1+'설정'!$C$14*'설정'!$E$32,1)/$D7)^(-'설정'!$C$6),('설정'!$C$32*IF($A7&gt;=31,1+'설정'!$C$14*'설정'!$E$32,1)/$D7)^(-'설정'!$C$7))&gt;('설정'!$C$4+'설정'!$F$32+'설정'!$G$32),"실패",ROUND($E7*'설정'!$C$5*IF(('설정'!$C$32*IF($A7&gt;=31,1+'설정'!$C$14*'설정'!$E$32,1)/$D7)&lt;1,('설정'!$C$32*IF($A7&gt;=31,1+'설정'!$C$14*'설정'!$E$32,1)/$D7)^(-'설정'!$C$6),('설정'!$C$32*IF($A7&gt;=31,1+'설정'!$C$14*'설정'!$E$32,1)/$D7)^(-'설정'!$C$7)),0))</f>
        <v/>
      </c>
      <c r="S7" s="8">
        <f>IF($E7*'설정'!$C$5*IF(('설정'!$C$33*IF($A7&gt;=31,1+'설정'!$C$14*'설정'!$E$33,1)/$D7)&lt;1,('설정'!$C$33*IF($A7&gt;=31,1+'설정'!$C$14*'설정'!$E$33,1)/$D7)^(-'설정'!$C$6),('설정'!$C$33*IF($A7&gt;=31,1+'설정'!$C$14*'설정'!$E$33,1)/$D7)^(-'설정'!$C$7))&gt;('설정'!$C$4+'설정'!$F$33+'설정'!$G$33),"실패",ROUND($E7*'설정'!$C$5*IF(('설정'!$C$33*IF($A7&gt;=31,1+'설정'!$C$14*'설정'!$E$33,1)/$D7)&lt;1,('설정'!$C$33*IF($A7&gt;=31,1+'설정'!$C$14*'설정'!$E$33,1)/$D7)^(-'설정'!$C$6),('설정'!$C$33*IF($A7&gt;=31,1+'설정'!$C$14*'설정'!$E$33,1)/$D7)^(-'설정'!$C$7)),0))</f>
        <v/>
      </c>
      <c r="T7" s="8">
        <f>IF($E7*'설정'!$C$5*IF(('설정'!$C$34*IF($A7&gt;=31,1+'설정'!$C$14*'설정'!$E$34,1)/$D7)&lt;1,('설정'!$C$34*IF($A7&gt;=31,1+'설정'!$C$14*'설정'!$E$34,1)/$D7)^(-'설정'!$C$6),('설정'!$C$34*IF($A7&gt;=31,1+'설정'!$C$14*'설정'!$E$34,1)/$D7)^(-'설정'!$C$7))&gt;('설정'!$C$4+'설정'!$F$34+'설정'!$G$34),"실패",ROUND($E7*'설정'!$C$5*IF(('설정'!$C$34*IF($A7&gt;=31,1+'설정'!$C$14*'설정'!$E$34,1)/$D7)&lt;1,('설정'!$C$34*IF($A7&gt;=31,1+'설정'!$C$14*'설정'!$E$34,1)/$D7)^(-'설정'!$C$6),('설정'!$C$34*IF($A7&gt;=31,1+'설정'!$C$14*'설정'!$E$34,1)/$D7)^(-'설정'!$C$7)),0))</f>
        <v/>
      </c>
      <c r="U7" s="8">
        <f>IF($E7*'설정'!$C$5*IF(('설정'!$C$35*IF($A7&gt;=31,1+'설정'!$C$14*'설정'!$E$35,1)/$D7)&lt;1,('설정'!$C$35*IF($A7&gt;=31,1+'설정'!$C$14*'설정'!$E$35,1)/$D7)^(-'설정'!$C$6),('설정'!$C$35*IF($A7&gt;=31,1+'설정'!$C$14*'설정'!$E$35,1)/$D7)^(-'설정'!$C$7))&gt;('설정'!$C$4+'설정'!$F$35+'설정'!$G$35),"실패",ROUND($E7*'설정'!$C$5*IF(('설정'!$C$35*IF($A7&gt;=31,1+'설정'!$C$14*'설정'!$E$35,1)/$D7)&lt;1,('설정'!$C$35*IF($A7&gt;=31,1+'설정'!$C$14*'설정'!$E$35,1)/$D7)^(-'설정'!$C$6),('설정'!$C$35*IF($A7&gt;=31,1+'설정'!$C$14*'설정'!$E$35,1)/$D7)^(-'설정'!$C$7)),0))</f>
        <v/>
      </c>
      <c r="V7" s="8">
        <f>IF($E7*'설정'!$C$5*IF(('설정'!$C$36*IF($A7&gt;=31,1+'설정'!$C$14*'설정'!$E$36,1)/$D7)&lt;1,('설정'!$C$36*IF($A7&gt;=31,1+'설정'!$C$14*'설정'!$E$36,1)/$D7)^(-'설정'!$C$6),('설정'!$C$36*IF($A7&gt;=31,1+'설정'!$C$14*'설정'!$E$36,1)/$D7)^(-'설정'!$C$7))&gt;('설정'!$C$4+'설정'!$F$36+'설정'!$G$36),"실패",ROUND($E7*'설정'!$C$5*IF(('설정'!$C$36*IF($A7&gt;=31,1+'설정'!$C$14*'설정'!$E$36,1)/$D7)&lt;1,('설정'!$C$36*IF($A7&gt;=31,1+'설정'!$C$14*'설정'!$E$36,1)/$D7)^(-'설정'!$C$6),('설정'!$C$36*IF($A7&gt;=31,1+'설정'!$C$14*'설정'!$E$36,1)/$D7)^(-'설정'!$C$7)),0))</f>
        <v/>
      </c>
      <c r="W7" s="8">
        <f>IF($E7*'설정'!$C$5*IF(('설정'!$C$37*IF($A7&gt;=31,1+'설정'!$C$14*'설정'!$E$37,1)/$D7)&lt;1,('설정'!$C$37*IF($A7&gt;=31,1+'설정'!$C$14*'설정'!$E$37,1)/$D7)^(-'설정'!$C$6),('설정'!$C$37*IF($A7&gt;=31,1+'설정'!$C$14*'설정'!$E$37,1)/$D7)^(-'설정'!$C$7))&gt;('설정'!$C$4+'설정'!$F$37+'설정'!$G$37),"실패",ROUND($E7*'설정'!$C$5*IF(('설정'!$C$37*IF($A7&gt;=31,1+'설정'!$C$14*'설정'!$E$37,1)/$D7)&lt;1,('설정'!$C$37*IF($A7&gt;=31,1+'설정'!$C$14*'설정'!$E$37,1)/$D7)^(-'설정'!$C$6),('설정'!$C$37*IF($A7&gt;=31,1+'설정'!$C$14*'설정'!$E$37,1)/$D7)^(-'설정'!$C$7)),0))</f>
        <v/>
      </c>
    </row>
    <row r="8">
      <c r="A8" t="n">
        <v>6</v>
      </c>
      <c r="B8" t="inlineStr">
        <is>
          <t>보통</t>
        </is>
      </c>
      <c r="C8" t="inlineStr"/>
      <c r="D8" s="6" t="n">
        <v>1860</v>
      </c>
      <c r="E8" t="n">
        <v>72</v>
      </c>
      <c r="F8" s="6" t="n">
        <v>37.12</v>
      </c>
      <c r="G8" t="n">
        <v>4</v>
      </c>
      <c r="H8" s="8">
        <f>IF($E8*'설정'!$C$5*IF(('설정'!$C$22*IF($A8&gt;=31,1+'설정'!$C$14*'설정'!$E$22,1)/$D8)&lt;1,('설정'!$C$22*IF($A8&gt;=31,1+'설정'!$C$14*'설정'!$E$22,1)/$D8)^(-'설정'!$C$6),('설정'!$C$22*IF($A8&gt;=31,1+'설정'!$C$14*'설정'!$E$22,1)/$D8)^(-'설정'!$C$7))&gt;('설정'!$C$4+'설정'!$F$22),"실패",ROUND($E8*'설정'!$C$5*IF(('설정'!$C$22*IF($A8&gt;=31,1+'설정'!$C$14*'설정'!$E$22,1)/$D8)&lt;1,('설정'!$C$22*IF($A8&gt;=31,1+'설정'!$C$14*'설정'!$E$22,1)/$D8)^(-'설정'!$C$6),('설정'!$C$22*IF($A8&gt;=31,1+'설정'!$C$14*'설정'!$E$22,1)/$D8)^(-'설정'!$C$7)),0))</f>
        <v/>
      </c>
      <c r="I8" s="8">
        <f>IF($E8*'설정'!$C$5*IF(('설정'!$C$23*IF($A8&gt;=31,1+'설정'!$C$14*'설정'!$E$23,1)/$D8)&lt;1,('설정'!$C$23*IF($A8&gt;=31,1+'설정'!$C$14*'설정'!$E$23,1)/$D8)^(-'설정'!$C$6),('설정'!$C$23*IF($A8&gt;=31,1+'설정'!$C$14*'설정'!$E$23,1)/$D8)^(-'설정'!$C$7))&gt;('설정'!$C$4+'설정'!$F$23),"실패",ROUND($E8*'설정'!$C$5*IF(('설정'!$C$23*IF($A8&gt;=31,1+'설정'!$C$14*'설정'!$E$23,1)/$D8)&lt;1,('설정'!$C$23*IF($A8&gt;=31,1+'설정'!$C$14*'설정'!$E$23,1)/$D8)^(-'설정'!$C$6),('설정'!$C$23*IF($A8&gt;=31,1+'설정'!$C$14*'설정'!$E$23,1)/$D8)^(-'설정'!$C$7)),0))</f>
        <v/>
      </c>
      <c r="J8" s="8">
        <f>IF($E8*'설정'!$C$5*IF(('설정'!$C$24*IF($A8&gt;=31,1+'설정'!$C$14*'설정'!$E$24,1)/$D8)&lt;1,('설정'!$C$24*IF($A8&gt;=31,1+'설정'!$C$14*'설정'!$E$24,1)/$D8)^(-'설정'!$C$6),('설정'!$C$24*IF($A8&gt;=31,1+'설정'!$C$14*'설정'!$E$24,1)/$D8)^(-'설정'!$C$7))&gt;('설정'!$C$4+'설정'!$F$24),"실패",ROUND($E8*'설정'!$C$5*IF(('설정'!$C$24*IF($A8&gt;=31,1+'설정'!$C$14*'설정'!$E$24,1)/$D8)&lt;1,('설정'!$C$24*IF($A8&gt;=31,1+'설정'!$C$14*'설정'!$E$24,1)/$D8)^(-'설정'!$C$6),('설정'!$C$24*IF($A8&gt;=31,1+'설정'!$C$14*'설정'!$E$24,1)/$D8)^(-'설정'!$C$7)),0))</f>
        <v/>
      </c>
      <c r="K8" s="8">
        <f>IF($E8*'설정'!$C$5*IF(('설정'!$C$25*IF($A8&gt;=31,1+'설정'!$C$14*'설정'!$E$25,1)/$D8)&lt;1,('설정'!$C$25*IF($A8&gt;=31,1+'설정'!$C$14*'설정'!$E$25,1)/$D8)^(-'설정'!$C$6),('설정'!$C$25*IF($A8&gt;=31,1+'설정'!$C$14*'설정'!$E$25,1)/$D8)^(-'설정'!$C$7))&gt;('설정'!$C$4+'설정'!$F$25),"실패",ROUND($E8*'설정'!$C$5*IF(('설정'!$C$25*IF($A8&gt;=31,1+'설정'!$C$14*'설정'!$E$25,1)/$D8)&lt;1,('설정'!$C$25*IF($A8&gt;=31,1+'설정'!$C$14*'설정'!$E$25,1)/$D8)^(-'설정'!$C$6),('설정'!$C$25*IF($A8&gt;=31,1+'설정'!$C$14*'설정'!$E$25,1)/$D8)^(-'설정'!$C$7)),0))</f>
        <v/>
      </c>
      <c r="L8" s="8">
        <f>IF($E8*'설정'!$C$5*IF(('설정'!$C$26*IF($A8&gt;=31,1+'설정'!$C$14*'설정'!$E$26,1)/$D8)&lt;1,('설정'!$C$26*IF($A8&gt;=31,1+'설정'!$C$14*'설정'!$E$26,1)/$D8)^(-'설정'!$C$6),('설정'!$C$26*IF($A8&gt;=31,1+'설정'!$C$14*'설정'!$E$26,1)/$D8)^(-'설정'!$C$7))&gt;('설정'!$C$4+'설정'!$F$26),"실패",ROUND($E8*'설정'!$C$5*IF(('설정'!$C$26*IF($A8&gt;=31,1+'설정'!$C$14*'설정'!$E$26,1)/$D8)&lt;1,('설정'!$C$26*IF($A8&gt;=31,1+'설정'!$C$14*'설정'!$E$26,1)/$D8)^(-'설정'!$C$6),('설정'!$C$26*IF($A8&gt;=31,1+'설정'!$C$14*'설정'!$E$26,1)/$D8)^(-'설정'!$C$7)),0))</f>
        <v/>
      </c>
      <c r="M8" s="8">
        <f>IF($E8*'설정'!$C$5*IF(('설정'!$C$27*IF($A8&gt;=31,1+'설정'!$C$14*'설정'!$E$27,1)/$D8)&lt;1,('설정'!$C$27*IF($A8&gt;=31,1+'설정'!$C$14*'설정'!$E$27,1)/$D8)^(-'설정'!$C$6),('설정'!$C$27*IF($A8&gt;=31,1+'설정'!$C$14*'설정'!$E$27,1)/$D8)^(-'설정'!$C$7))&gt;('설정'!$C$4+'설정'!$F$27),"실패",ROUND($E8*'설정'!$C$5*IF(('설정'!$C$27*IF($A8&gt;=31,1+'설정'!$C$14*'설정'!$E$27,1)/$D8)&lt;1,('설정'!$C$27*IF($A8&gt;=31,1+'설정'!$C$14*'설정'!$E$27,1)/$D8)^(-'설정'!$C$6),('설정'!$C$27*IF($A8&gt;=31,1+'설정'!$C$14*'설정'!$E$27,1)/$D8)^(-'설정'!$C$7)),0))</f>
        <v/>
      </c>
      <c r="N8" s="8">
        <f>IF($E8*'설정'!$C$5*IF(('설정'!$C$28*IF($A8&gt;=31,1+'설정'!$C$14*'설정'!$E$28,1)/$D8)&lt;1,('설정'!$C$28*IF($A8&gt;=31,1+'설정'!$C$14*'설정'!$E$28,1)/$D8)^(-'설정'!$C$6),('설정'!$C$28*IF($A8&gt;=31,1+'설정'!$C$14*'설정'!$E$28,1)/$D8)^(-'설정'!$C$7))&gt;('설정'!$C$4+'설정'!$F$28),"실패",ROUND($E8*'설정'!$C$5*IF(('설정'!$C$28*IF($A8&gt;=31,1+'설정'!$C$14*'설정'!$E$28,1)/$D8)&lt;1,('설정'!$C$28*IF($A8&gt;=31,1+'설정'!$C$14*'설정'!$E$28,1)/$D8)^(-'설정'!$C$6),('설정'!$C$28*IF($A8&gt;=31,1+'설정'!$C$14*'설정'!$E$28,1)/$D8)^(-'설정'!$C$7)),0))</f>
        <v/>
      </c>
      <c r="O8" s="8">
        <f>IF($E8*'설정'!$C$5*IF(('설정'!$C$29*IF($A8&gt;=31,1+'설정'!$C$14*'설정'!$E$29,1)/$D8)&lt;1,('설정'!$C$29*IF($A8&gt;=31,1+'설정'!$C$14*'설정'!$E$29,1)/$D8)^(-'설정'!$C$6),('설정'!$C$29*IF($A8&gt;=31,1+'설정'!$C$14*'설정'!$E$29,1)/$D8)^(-'설정'!$C$7))&gt;('설정'!$C$4+'설정'!$F$29),"실패",ROUND($E8*'설정'!$C$5*IF(('설정'!$C$29*IF($A8&gt;=31,1+'설정'!$C$14*'설정'!$E$29,1)/$D8)&lt;1,('설정'!$C$29*IF($A8&gt;=31,1+'설정'!$C$14*'설정'!$E$29,1)/$D8)^(-'설정'!$C$6),('설정'!$C$29*IF($A8&gt;=31,1+'설정'!$C$14*'설정'!$E$29,1)/$D8)^(-'설정'!$C$7)),0))</f>
        <v/>
      </c>
      <c r="P8" s="8">
        <f>IF($E8*'설정'!$C$5*IF(('설정'!$C$30*IF($A8&gt;=31,1+'설정'!$C$14*'설정'!$E$30,1)/$D8)&lt;1,('설정'!$C$30*IF($A8&gt;=31,1+'설정'!$C$14*'설정'!$E$30,1)/$D8)^(-'설정'!$C$6),('설정'!$C$30*IF($A8&gt;=31,1+'설정'!$C$14*'설정'!$E$30,1)/$D8)^(-'설정'!$C$7))&gt;('설정'!$C$4+'설정'!$F$30),"실패",ROUND($E8*'설정'!$C$5*IF(('설정'!$C$30*IF($A8&gt;=31,1+'설정'!$C$14*'설정'!$E$30,1)/$D8)&lt;1,('설정'!$C$30*IF($A8&gt;=31,1+'설정'!$C$14*'설정'!$E$30,1)/$D8)^(-'설정'!$C$6),('설정'!$C$30*IF($A8&gt;=31,1+'설정'!$C$14*'설정'!$E$30,1)/$D8)^(-'설정'!$C$7)),0))</f>
        <v/>
      </c>
      <c r="Q8" s="8">
        <f>IF($E8*'설정'!$C$5*IF(('설정'!$C$31*IF($A8&gt;=31,1+'설정'!$C$14*'설정'!$E$31,1)/$D8)&lt;1,('설정'!$C$31*IF($A8&gt;=31,1+'설정'!$C$14*'설정'!$E$31,1)/$D8)^(-'설정'!$C$6),('설정'!$C$31*IF($A8&gt;=31,1+'설정'!$C$14*'설정'!$E$31,1)/$D8)^(-'설정'!$C$7))&gt;('설정'!$C$4+'설정'!$F$31),"실패",ROUND($E8*'설정'!$C$5*IF(('설정'!$C$31*IF($A8&gt;=31,1+'설정'!$C$14*'설정'!$E$31,1)/$D8)&lt;1,('설정'!$C$31*IF($A8&gt;=31,1+'설정'!$C$14*'설정'!$E$31,1)/$D8)^(-'설정'!$C$6),('설정'!$C$31*IF($A8&gt;=31,1+'설정'!$C$14*'설정'!$E$31,1)/$D8)^(-'설정'!$C$7)),0))</f>
        <v/>
      </c>
      <c r="R8" s="8">
        <f>IF($E8*'설정'!$C$5*IF(('설정'!$C$32*IF($A8&gt;=31,1+'설정'!$C$14*'설정'!$E$32,1)/$D8)&lt;1,('설정'!$C$32*IF($A8&gt;=31,1+'설정'!$C$14*'설정'!$E$32,1)/$D8)^(-'설정'!$C$6),('설정'!$C$32*IF($A8&gt;=31,1+'설정'!$C$14*'설정'!$E$32,1)/$D8)^(-'설정'!$C$7))&gt;('설정'!$C$4+'설정'!$F$32),"실패",ROUND($E8*'설정'!$C$5*IF(('설정'!$C$32*IF($A8&gt;=31,1+'설정'!$C$14*'설정'!$E$32,1)/$D8)&lt;1,('설정'!$C$32*IF($A8&gt;=31,1+'설정'!$C$14*'설정'!$E$32,1)/$D8)^(-'설정'!$C$6),('설정'!$C$32*IF($A8&gt;=31,1+'설정'!$C$14*'설정'!$E$32,1)/$D8)^(-'설정'!$C$7)),0))</f>
        <v/>
      </c>
      <c r="S8" s="8">
        <f>IF($E8*'설정'!$C$5*IF(('설정'!$C$33*IF($A8&gt;=31,1+'설정'!$C$14*'설정'!$E$33,1)/$D8)&lt;1,('설정'!$C$33*IF($A8&gt;=31,1+'설정'!$C$14*'설정'!$E$33,1)/$D8)^(-'설정'!$C$6),('설정'!$C$33*IF($A8&gt;=31,1+'설정'!$C$14*'설정'!$E$33,1)/$D8)^(-'설정'!$C$7))&gt;('설정'!$C$4+'설정'!$F$33),"실패",ROUND($E8*'설정'!$C$5*IF(('설정'!$C$33*IF($A8&gt;=31,1+'설정'!$C$14*'설정'!$E$33,1)/$D8)&lt;1,('설정'!$C$33*IF($A8&gt;=31,1+'설정'!$C$14*'설정'!$E$33,1)/$D8)^(-'설정'!$C$6),('설정'!$C$33*IF($A8&gt;=31,1+'설정'!$C$14*'설정'!$E$33,1)/$D8)^(-'설정'!$C$7)),0))</f>
        <v/>
      </c>
      <c r="T8" s="8">
        <f>IF($E8*'설정'!$C$5*IF(('설정'!$C$34*IF($A8&gt;=31,1+'설정'!$C$14*'설정'!$E$34,1)/$D8)&lt;1,('설정'!$C$34*IF($A8&gt;=31,1+'설정'!$C$14*'설정'!$E$34,1)/$D8)^(-'설정'!$C$6),('설정'!$C$34*IF($A8&gt;=31,1+'설정'!$C$14*'설정'!$E$34,1)/$D8)^(-'설정'!$C$7))&gt;('설정'!$C$4+'설정'!$F$34),"실패",ROUND($E8*'설정'!$C$5*IF(('설정'!$C$34*IF($A8&gt;=31,1+'설정'!$C$14*'설정'!$E$34,1)/$D8)&lt;1,('설정'!$C$34*IF($A8&gt;=31,1+'설정'!$C$14*'설정'!$E$34,1)/$D8)^(-'설정'!$C$6),('설정'!$C$34*IF($A8&gt;=31,1+'설정'!$C$14*'설정'!$E$34,1)/$D8)^(-'설정'!$C$7)),0))</f>
        <v/>
      </c>
      <c r="U8" s="8">
        <f>IF($E8*'설정'!$C$5*IF(('설정'!$C$35*IF($A8&gt;=31,1+'설정'!$C$14*'설정'!$E$35,1)/$D8)&lt;1,('설정'!$C$35*IF($A8&gt;=31,1+'설정'!$C$14*'설정'!$E$35,1)/$D8)^(-'설정'!$C$6),('설정'!$C$35*IF($A8&gt;=31,1+'설정'!$C$14*'설정'!$E$35,1)/$D8)^(-'설정'!$C$7))&gt;('설정'!$C$4+'설정'!$F$35),"실패",ROUND($E8*'설정'!$C$5*IF(('설정'!$C$35*IF($A8&gt;=31,1+'설정'!$C$14*'설정'!$E$35,1)/$D8)&lt;1,('설정'!$C$35*IF($A8&gt;=31,1+'설정'!$C$14*'설정'!$E$35,1)/$D8)^(-'설정'!$C$6),('설정'!$C$35*IF($A8&gt;=31,1+'설정'!$C$14*'설정'!$E$35,1)/$D8)^(-'설정'!$C$7)),0))</f>
        <v/>
      </c>
      <c r="V8" s="8">
        <f>IF($E8*'설정'!$C$5*IF(('설정'!$C$36*IF($A8&gt;=31,1+'설정'!$C$14*'설정'!$E$36,1)/$D8)&lt;1,('설정'!$C$36*IF($A8&gt;=31,1+'설정'!$C$14*'설정'!$E$36,1)/$D8)^(-'설정'!$C$6),('설정'!$C$36*IF($A8&gt;=31,1+'설정'!$C$14*'설정'!$E$36,1)/$D8)^(-'설정'!$C$7))&gt;('설정'!$C$4+'설정'!$F$36),"실패",ROUND($E8*'설정'!$C$5*IF(('설정'!$C$36*IF($A8&gt;=31,1+'설정'!$C$14*'설정'!$E$36,1)/$D8)&lt;1,('설정'!$C$36*IF($A8&gt;=31,1+'설정'!$C$14*'설정'!$E$36,1)/$D8)^(-'설정'!$C$6),('설정'!$C$36*IF($A8&gt;=31,1+'설정'!$C$14*'설정'!$E$36,1)/$D8)^(-'설정'!$C$7)),0))</f>
        <v/>
      </c>
      <c r="W8" s="8">
        <f>IF($E8*'설정'!$C$5*IF(('설정'!$C$37*IF($A8&gt;=31,1+'설정'!$C$14*'설정'!$E$37,1)/$D8)&lt;1,('설정'!$C$37*IF($A8&gt;=31,1+'설정'!$C$14*'설정'!$E$37,1)/$D8)^(-'설정'!$C$6),('설정'!$C$37*IF($A8&gt;=31,1+'설정'!$C$14*'설정'!$E$37,1)/$D8)^(-'설정'!$C$7))&gt;('설정'!$C$4+'설정'!$F$37),"실패",ROUND($E8*'설정'!$C$5*IF(('설정'!$C$37*IF($A8&gt;=31,1+'설정'!$C$14*'설정'!$E$37,1)/$D8)&lt;1,('설정'!$C$37*IF($A8&gt;=31,1+'설정'!$C$14*'설정'!$E$37,1)/$D8)^(-'설정'!$C$6),('설정'!$C$37*IF($A8&gt;=31,1+'설정'!$C$14*'설정'!$E$37,1)/$D8)^(-'설정'!$C$7)),0))</f>
        <v/>
      </c>
    </row>
    <row r="9">
      <c r="A9" t="n">
        <v>7</v>
      </c>
      <c r="B9" t="inlineStr">
        <is>
          <t>보통</t>
        </is>
      </c>
      <c r="C9" t="inlineStr"/>
      <c r="D9" s="6" t="n">
        <v>2450</v>
      </c>
      <c r="E9" t="n">
        <v>72</v>
      </c>
      <c r="F9" s="6" t="n">
        <v>49.01</v>
      </c>
      <c r="G9" t="n">
        <v>4</v>
      </c>
      <c r="H9" s="8">
        <f>IF($E9*'설정'!$C$5*IF(('설정'!$C$22*IF($A9&gt;=31,1+'설정'!$C$14*'설정'!$E$22,1)/$D9)&lt;1,('설정'!$C$22*IF($A9&gt;=31,1+'설정'!$C$14*'설정'!$E$22,1)/$D9)^(-'설정'!$C$6),('설정'!$C$22*IF($A9&gt;=31,1+'설정'!$C$14*'설정'!$E$22,1)/$D9)^(-'설정'!$C$7))&gt;('설정'!$C$4+'설정'!$F$22),"실패",ROUND($E9*'설정'!$C$5*IF(('설정'!$C$22*IF($A9&gt;=31,1+'설정'!$C$14*'설정'!$E$22,1)/$D9)&lt;1,('설정'!$C$22*IF($A9&gt;=31,1+'설정'!$C$14*'설정'!$E$22,1)/$D9)^(-'설정'!$C$6),('설정'!$C$22*IF($A9&gt;=31,1+'설정'!$C$14*'설정'!$E$22,1)/$D9)^(-'설정'!$C$7)),0))</f>
        <v/>
      </c>
      <c r="I9" s="8">
        <f>IF($E9*'설정'!$C$5*IF(('설정'!$C$23*IF($A9&gt;=31,1+'설정'!$C$14*'설정'!$E$23,1)/$D9)&lt;1,('설정'!$C$23*IF($A9&gt;=31,1+'설정'!$C$14*'설정'!$E$23,1)/$D9)^(-'설정'!$C$6),('설정'!$C$23*IF($A9&gt;=31,1+'설정'!$C$14*'설정'!$E$23,1)/$D9)^(-'설정'!$C$7))&gt;('설정'!$C$4+'설정'!$F$23),"실패",ROUND($E9*'설정'!$C$5*IF(('설정'!$C$23*IF($A9&gt;=31,1+'설정'!$C$14*'설정'!$E$23,1)/$D9)&lt;1,('설정'!$C$23*IF($A9&gt;=31,1+'설정'!$C$14*'설정'!$E$23,1)/$D9)^(-'설정'!$C$6),('설정'!$C$23*IF($A9&gt;=31,1+'설정'!$C$14*'설정'!$E$23,1)/$D9)^(-'설정'!$C$7)),0))</f>
        <v/>
      </c>
      <c r="J9" s="8">
        <f>IF($E9*'설정'!$C$5*IF(('설정'!$C$24*IF($A9&gt;=31,1+'설정'!$C$14*'설정'!$E$24,1)/$D9)&lt;1,('설정'!$C$24*IF($A9&gt;=31,1+'설정'!$C$14*'설정'!$E$24,1)/$D9)^(-'설정'!$C$6),('설정'!$C$24*IF($A9&gt;=31,1+'설정'!$C$14*'설정'!$E$24,1)/$D9)^(-'설정'!$C$7))&gt;('설정'!$C$4+'설정'!$F$24),"실패",ROUND($E9*'설정'!$C$5*IF(('설정'!$C$24*IF($A9&gt;=31,1+'설정'!$C$14*'설정'!$E$24,1)/$D9)&lt;1,('설정'!$C$24*IF($A9&gt;=31,1+'설정'!$C$14*'설정'!$E$24,1)/$D9)^(-'설정'!$C$6),('설정'!$C$24*IF($A9&gt;=31,1+'설정'!$C$14*'설정'!$E$24,1)/$D9)^(-'설정'!$C$7)),0))</f>
        <v/>
      </c>
      <c r="K9" s="8">
        <f>IF($E9*'설정'!$C$5*IF(('설정'!$C$25*IF($A9&gt;=31,1+'설정'!$C$14*'설정'!$E$25,1)/$D9)&lt;1,('설정'!$C$25*IF($A9&gt;=31,1+'설정'!$C$14*'설정'!$E$25,1)/$D9)^(-'설정'!$C$6),('설정'!$C$25*IF($A9&gt;=31,1+'설정'!$C$14*'설정'!$E$25,1)/$D9)^(-'설정'!$C$7))&gt;('설정'!$C$4+'설정'!$F$25),"실패",ROUND($E9*'설정'!$C$5*IF(('설정'!$C$25*IF($A9&gt;=31,1+'설정'!$C$14*'설정'!$E$25,1)/$D9)&lt;1,('설정'!$C$25*IF($A9&gt;=31,1+'설정'!$C$14*'설정'!$E$25,1)/$D9)^(-'설정'!$C$6),('설정'!$C$25*IF($A9&gt;=31,1+'설정'!$C$14*'설정'!$E$25,1)/$D9)^(-'설정'!$C$7)),0))</f>
        <v/>
      </c>
      <c r="L9" s="8">
        <f>IF($E9*'설정'!$C$5*IF(('설정'!$C$26*IF($A9&gt;=31,1+'설정'!$C$14*'설정'!$E$26,1)/$D9)&lt;1,('설정'!$C$26*IF($A9&gt;=31,1+'설정'!$C$14*'설정'!$E$26,1)/$D9)^(-'설정'!$C$6),('설정'!$C$26*IF($A9&gt;=31,1+'설정'!$C$14*'설정'!$E$26,1)/$D9)^(-'설정'!$C$7))&gt;('설정'!$C$4+'설정'!$F$26),"실패",ROUND($E9*'설정'!$C$5*IF(('설정'!$C$26*IF($A9&gt;=31,1+'설정'!$C$14*'설정'!$E$26,1)/$D9)&lt;1,('설정'!$C$26*IF($A9&gt;=31,1+'설정'!$C$14*'설정'!$E$26,1)/$D9)^(-'설정'!$C$6),('설정'!$C$26*IF($A9&gt;=31,1+'설정'!$C$14*'설정'!$E$26,1)/$D9)^(-'설정'!$C$7)),0))</f>
        <v/>
      </c>
      <c r="M9" s="8">
        <f>IF($E9*'설정'!$C$5*IF(('설정'!$C$27*IF($A9&gt;=31,1+'설정'!$C$14*'설정'!$E$27,1)/$D9)&lt;1,('설정'!$C$27*IF($A9&gt;=31,1+'설정'!$C$14*'설정'!$E$27,1)/$D9)^(-'설정'!$C$6),('설정'!$C$27*IF($A9&gt;=31,1+'설정'!$C$14*'설정'!$E$27,1)/$D9)^(-'설정'!$C$7))&gt;('설정'!$C$4+'설정'!$F$27),"실패",ROUND($E9*'설정'!$C$5*IF(('설정'!$C$27*IF($A9&gt;=31,1+'설정'!$C$14*'설정'!$E$27,1)/$D9)&lt;1,('설정'!$C$27*IF($A9&gt;=31,1+'설정'!$C$14*'설정'!$E$27,1)/$D9)^(-'설정'!$C$6),('설정'!$C$27*IF($A9&gt;=31,1+'설정'!$C$14*'설정'!$E$27,1)/$D9)^(-'설정'!$C$7)),0))</f>
        <v/>
      </c>
      <c r="N9" s="8">
        <f>IF($E9*'설정'!$C$5*IF(('설정'!$C$28*IF($A9&gt;=31,1+'설정'!$C$14*'설정'!$E$28,1)/$D9)&lt;1,('설정'!$C$28*IF($A9&gt;=31,1+'설정'!$C$14*'설정'!$E$28,1)/$D9)^(-'설정'!$C$6),('설정'!$C$28*IF($A9&gt;=31,1+'설정'!$C$14*'설정'!$E$28,1)/$D9)^(-'설정'!$C$7))&gt;('설정'!$C$4+'설정'!$F$28),"실패",ROUND($E9*'설정'!$C$5*IF(('설정'!$C$28*IF($A9&gt;=31,1+'설정'!$C$14*'설정'!$E$28,1)/$D9)&lt;1,('설정'!$C$28*IF($A9&gt;=31,1+'설정'!$C$14*'설정'!$E$28,1)/$D9)^(-'설정'!$C$6),('설정'!$C$28*IF($A9&gt;=31,1+'설정'!$C$14*'설정'!$E$28,1)/$D9)^(-'설정'!$C$7)),0))</f>
        <v/>
      </c>
      <c r="O9" s="8">
        <f>IF($E9*'설정'!$C$5*IF(('설정'!$C$29*IF($A9&gt;=31,1+'설정'!$C$14*'설정'!$E$29,1)/$D9)&lt;1,('설정'!$C$29*IF($A9&gt;=31,1+'설정'!$C$14*'설정'!$E$29,1)/$D9)^(-'설정'!$C$6),('설정'!$C$29*IF($A9&gt;=31,1+'설정'!$C$14*'설정'!$E$29,1)/$D9)^(-'설정'!$C$7))&gt;('설정'!$C$4+'설정'!$F$29),"실패",ROUND($E9*'설정'!$C$5*IF(('설정'!$C$29*IF($A9&gt;=31,1+'설정'!$C$14*'설정'!$E$29,1)/$D9)&lt;1,('설정'!$C$29*IF($A9&gt;=31,1+'설정'!$C$14*'설정'!$E$29,1)/$D9)^(-'설정'!$C$6),('설정'!$C$29*IF($A9&gt;=31,1+'설정'!$C$14*'설정'!$E$29,1)/$D9)^(-'설정'!$C$7)),0))</f>
        <v/>
      </c>
      <c r="P9" s="8">
        <f>IF($E9*'설정'!$C$5*IF(('설정'!$C$30*IF($A9&gt;=31,1+'설정'!$C$14*'설정'!$E$30,1)/$D9)&lt;1,('설정'!$C$30*IF($A9&gt;=31,1+'설정'!$C$14*'설정'!$E$30,1)/$D9)^(-'설정'!$C$6),('설정'!$C$30*IF($A9&gt;=31,1+'설정'!$C$14*'설정'!$E$30,1)/$D9)^(-'설정'!$C$7))&gt;('설정'!$C$4+'설정'!$F$30),"실패",ROUND($E9*'설정'!$C$5*IF(('설정'!$C$30*IF($A9&gt;=31,1+'설정'!$C$14*'설정'!$E$30,1)/$D9)&lt;1,('설정'!$C$30*IF($A9&gt;=31,1+'설정'!$C$14*'설정'!$E$30,1)/$D9)^(-'설정'!$C$6),('설정'!$C$30*IF($A9&gt;=31,1+'설정'!$C$14*'설정'!$E$30,1)/$D9)^(-'설정'!$C$7)),0))</f>
        <v/>
      </c>
      <c r="Q9" s="8">
        <f>IF($E9*'설정'!$C$5*IF(('설정'!$C$31*IF($A9&gt;=31,1+'설정'!$C$14*'설정'!$E$31,1)/$D9)&lt;1,('설정'!$C$31*IF($A9&gt;=31,1+'설정'!$C$14*'설정'!$E$31,1)/$D9)^(-'설정'!$C$6),('설정'!$C$31*IF($A9&gt;=31,1+'설정'!$C$14*'설정'!$E$31,1)/$D9)^(-'설정'!$C$7))&gt;('설정'!$C$4+'설정'!$F$31),"실패",ROUND($E9*'설정'!$C$5*IF(('설정'!$C$31*IF($A9&gt;=31,1+'설정'!$C$14*'설정'!$E$31,1)/$D9)&lt;1,('설정'!$C$31*IF($A9&gt;=31,1+'설정'!$C$14*'설정'!$E$31,1)/$D9)^(-'설정'!$C$6),('설정'!$C$31*IF($A9&gt;=31,1+'설정'!$C$14*'설정'!$E$31,1)/$D9)^(-'설정'!$C$7)),0))</f>
        <v/>
      </c>
      <c r="R9" s="8">
        <f>IF($E9*'설정'!$C$5*IF(('설정'!$C$32*IF($A9&gt;=31,1+'설정'!$C$14*'설정'!$E$32,1)/$D9)&lt;1,('설정'!$C$32*IF($A9&gt;=31,1+'설정'!$C$14*'설정'!$E$32,1)/$D9)^(-'설정'!$C$6),('설정'!$C$32*IF($A9&gt;=31,1+'설정'!$C$14*'설정'!$E$32,1)/$D9)^(-'설정'!$C$7))&gt;('설정'!$C$4+'설정'!$F$32),"실패",ROUND($E9*'설정'!$C$5*IF(('설정'!$C$32*IF($A9&gt;=31,1+'설정'!$C$14*'설정'!$E$32,1)/$D9)&lt;1,('설정'!$C$32*IF($A9&gt;=31,1+'설정'!$C$14*'설정'!$E$32,1)/$D9)^(-'설정'!$C$6),('설정'!$C$32*IF($A9&gt;=31,1+'설정'!$C$14*'설정'!$E$32,1)/$D9)^(-'설정'!$C$7)),0))</f>
        <v/>
      </c>
      <c r="S9" s="8">
        <f>IF($E9*'설정'!$C$5*IF(('설정'!$C$33*IF($A9&gt;=31,1+'설정'!$C$14*'설정'!$E$33,1)/$D9)&lt;1,('설정'!$C$33*IF($A9&gt;=31,1+'설정'!$C$14*'설정'!$E$33,1)/$D9)^(-'설정'!$C$6),('설정'!$C$33*IF($A9&gt;=31,1+'설정'!$C$14*'설정'!$E$33,1)/$D9)^(-'설정'!$C$7))&gt;('설정'!$C$4+'설정'!$F$33),"실패",ROUND($E9*'설정'!$C$5*IF(('설정'!$C$33*IF($A9&gt;=31,1+'설정'!$C$14*'설정'!$E$33,1)/$D9)&lt;1,('설정'!$C$33*IF($A9&gt;=31,1+'설정'!$C$14*'설정'!$E$33,1)/$D9)^(-'설정'!$C$6),('설정'!$C$33*IF($A9&gt;=31,1+'설정'!$C$14*'설정'!$E$33,1)/$D9)^(-'설정'!$C$7)),0))</f>
        <v/>
      </c>
      <c r="T9" s="8">
        <f>IF($E9*'설정'!$C$5*IF(('설정'!$C$34*IF($A9&gt;=31,1+'설정'!$C$14*'설정'!$E$34,1)/$D9)&lt;1,('설정'!$C$34*IF($A9&gt;=31,1+'설정'!$C$14*'설정'!$E$34,1)/$D9)^(-'설정'!$C$6),('설정'!$C$34*IF($A9&gt;=31,1+'설정'!$C$14*'설정'!$E$34,1)/$D9)^(-'설정'!$C$7))&gt;('설정'!$C$4+'설정'!$F$34),"실패",ROUND($E9*'설정'!$C$5*IF(('설정'!$C$34*IF($A9&gt;=31,1+'설정'!$C$14*'설정'!$E$34,1)/$D9)&lt;1,('설정'!$C$34*IF($A9&gt;=31,1+'설정'!$C$14*'설정'!$E$34,1)/$D9)^(-'설정'!$C$6),('설정'!$C$34*IF($A9&gt;=31,1+'설정'!$C$14*'설정'!$E$34,1)/$D9)^(-'설정'!$C$7)),0))</f>
        <v/>
      </c>
      <c r="U9" s="8">
        <f>IF($E9*'설정'!$C$5*IF(('설정'!$C$35*IF($A9&gt;=31,1+'설정'!$C$14*'설정'!$E$35,1)/$D9)&lt;1,('설정'!$C$35*IF($A9&gt;=31,1+'설정'!$C$14*'설정'!$E$35,1)/$D9)^(-'설정'!$C$6),('설정'!$C$35*IF($A9&gt;=31,1+'설정'!$C$14*'설정'!$E$35,1)/$D9)^(-'설정'!$C$7))&gt;('설정'!$C$4+'설정'!$F$35),"실패",ROUND($E9*'설정'!$C$5*IF(('설정'!$C$35*IF($A9&gt;=31,1+'설정'!$C$14*'설정'!$E$35,1)/$D9)&lt;1,('설정'!$C$35*IF($A9&gt;=31,1+'설정'!$C$14*'설정'!$E$35,1)/$D9)^(-'설정'!$C$6),('설정'!$C$35*IF($A9&gt;=31,1+'설정'!$C$14*'설정'!$E$35,1)/$D9)^(-'설정'!$C$7)),0))</f>
        <v/>
      </c>
      <c r="V9" s="8">
        <f>IF($E9*'설정'!$C$5*IF(('설정'!$C$36*IF($A9&gt;=31,1+'설정'!$C$14*'설정'!$E$36,1)/$D9)&lt;1,('설정'!$C$36*IF($A9&gt;=31,1+'설정'!$C$14*'설정'!$E$36,1)/$D9)^(-'설정'!$C$6),('설정'!$C$36*IF($A9&gt;=31,1+'설정'!$C$14*'설정'!$E$36,1)/$D9)^(-'설정'!$C$7))&gt;('설정'!$C$4+'설정'!$F$36),"실패",ROUND($E9*'설정'!$C$5*IF(('설정'!$C$36*IF($A9&gt;=31,1+'설정'!$C$14*'설정'!$E$36,1)/$D9)&lt;1,('설정'!$C$36*IF($A9&gt;=31,1+'설정'!$C$14*'설정'!$E$36,1)/$D9)^(-'설정'!$C$6),('설정'!$C$36*IF($A9&gt;=31,1+'설정'!$C$14*'설정'!$E$36,1)/$D9)^(-'설정'!$C$7)),0))</f>
        <v/>
      </c>
      <c r="W9" s="8">
        <f>IF($E9*'설정'!$C$5*IF(('설정'!$C$37*IF($A9&gt;=31,1+'설정'!$C$14*'설정'!$E$37,1)/$D9)&lt;1,('설정'!$C$37*IF($A9&gt;=31,1+'설정'!$C$14*'설정'!$E$37,1)/$D9)^(-'설정'!$C$6),('설정'!$C$37*IF($A9&gt;=31,1+'설정'!$C$14*'설정'!$E$37,1)/$D9)^(-'설정'!$C$7))&gt;('설정'!$C$4+'설정'!$F$37),"실패",ROUND($E9*'설정'!$C$5*IF(('설정'!$C$37*IF($A9&gt;=31,1+'설정'!$C$14*'설정'!$E$37,1)/$D9)&lt;1,('설정'!$C$37*IF($A9&gt;=31,1+'설정'!$C$14*'설정'!$E$37,1)/$D9)^(-'설정'!$C$6),('설정'!$C$37*IF($A9&gt;=31,1+'설정'!$C$14*'설정'!$E$37,1)/$D9)^(-'설정'!$C$7)),0))</f>
        <v/>
      </c>
    </row>
    <row r="10">
      <c r="A10" t="n">
        <v>8</v>
      </c>
      <c r="B10" t="inlineStr">
        <is>
          <t>보통</t>
        </is>
      </c>
      <c r="C10" t="inlineStr"/>
      <c r="D10" s="6" t="n">
        <v>3230</v>
      </c>
      <c r="E10" t="n">
        <v>72</v>
      </c>
      <c r="F10" s="6" t="n">
        <v>64.69</v>
      </c>
      <c r="G10" t="n">
        <v>5</v>
      </c>
      <c r="H10" s="8">
        <f>IF($E10*'설정'!$C$5*IF(('설정'!$C$22*IF($A10&gt;=31,1+'설정'!$C$14*'설정'!$E$22,1)/$D10)&lt;1,('설정'!$C$22*IF($A10&gt;=31,1+'설정'!$C$14*'설정'!$E$22,1)/$D10)^(-'설정'!$C$6),('설정'!$C$22*IF($A10&gt;=31,1+'설정'!$C$14*'설정'!$E$22,1)/$D10)^(-'설정'!$C$7))&gt;('설정'!$C$4+'설정'!$F$22),"실패",ROUND($E10*'설정'!$C$5*IF(('설정'!$C$22*IF($A10&gt;=31,1+'설정'!$C$14*'설정'!$E$22,1)/$D10)&lt;1,('설정'!$C$22*IF($A10&gt;=31,1+'설정'!$C$14*'설정'!$E$22,1)/$D10)^(-'설정'!$C$6),('설정'!$C$22*IF($A10&gt;=31,1+'설정'!$C$14*'설정'!$E$22,1)/$D10)^(-'설정'!$C$7)),0))</f>
        <v/>
      </c>
      <c r="I10" s="8">
        <f>IF($E10*'설정'!$C$5*IF(('설정'!$C$23*IF($A10&gt;=31,1+'설정'!$C$14*'설정'!$E$23,1)/$D10)&lt;1,('설정'!$C$23*IF($A10&gt;=31,1+'설정'!$C$14*'설정'!$E$23,1)/$D10)^(-'설정'!$C$6),('설정'!$C$23*IF($A10&gt;=31,1+'설정'!$C$14*'설정'!$E$23,1)/$D10)^(-'설정'!$C$7))&gt;('설정'!$C$4+'설정'!$F$23),"실패",ROUND($E10*'설정'!$C$5*IF(('설정'!$C$23*IF($A10&gt;=31,1+'설정'!$C$14*'설정'!$E$23,1)/$D10)&lt;1,('설정'!$C$23*IF($A10&gt;=31,1+'설정'!$C$14*'설정'!$E$23,1)/$D10)^(-'설정'!$C$6),('설정'!$C$23*IF($A10&gt;=31,1+'설정'!$C$14*'설정'!$E$23,1)/$D10)^(-'설정'!$C$7)),0))</f>
        <v/>
      </c>
      <c r="J10" s="8">
        <f>IF($E10*'설정'!$C$5*IF(('설정'!$C$24*IF($A10&gt;=31,1+'설정'!$C$14*'설정'!$E$24,1)/$D10)&lt;1,('설정'!$C$24*IF($A10&gt;=31,1+'설정'!$C$14*'설정'!$E$24,1)/$D10)^(-'설정'!$C$6),('설정'!$C$24*IF($A10&gt;=31,1+'설정'!$C$14*'설정'!$E$24,1)/$D10)^(-'설정'!$C$7))&gt;('설정'!$C$4+'설정'!$F$24),"실패",ROUND($E10*'설정'!$C$5*IF(('설정'!$C$24*IF($A10&gt;=31,1+'설정'!$C$14*'설정'!$E$24,1)/$D10)&lt;1,('설정'!$C$24*IF($A10&gt;=31,1+'설정'!$C$14*'설정'!$E$24,1)/$D10)^(-'설정'!$C$6),('설정'!$C$24*IF($A10&gt;=31,1+'설정'!$C$14*'설정'!$E$24,1)/$D10)^(-'설정'!$C$7)),0))</f>
        <v/>
      </c>
      <c r="K10" s="8">
        <f>IF($E10*'설정'!$C$5*IF(('설정'!$C$25*IF($A10&gt;=31,1+'설정'!$C$14*'설정'!$E$25,1)/$D10)&lt;1,('설정'!$C$25*IF($A10&gt;=31,1+'설정'!$C$14*'설정'!$E$25,1)/$D10)^(-'설정'!$C$6),('설정'!$C$25*IF($A10&gt;=31,1+'설정'!$C$14*'설정'!$E$25,1)/$D10)^(-'설정'!$C$7))&gt;('설정'!$C$4+'설정'!$F$25),"실패",ROUND($E10*'설정'!$C$5*IF(('설정'!$C$25*IF($A10&gt;=31,1+'설정'!$C$14*'설정'!$E$25,1)/$D10)&lt;1,('설정'!$C$25*IF($A10&gt;=31,1+'설정'!$C$14*'설정'!$E$25,1)/$D10)^(-'설정'!$C$6),('설정'!$C$25*IF($A10&gt;=31,1+'설정'!$C$14*'설정'!$E$25,1)/$D10)^(-'설정'!$C$7)),0))</f>
        <v/>
      </c>
      <c r="L10" s="8">
        <f>IF($E10*'설정'!$C$5*IF(('설정'!$C$26*IF($A10&gt;=31,1+'설정'!$C$14*'설정'!$E$26,1)/$D10)&lt;1,('설정'!$C$26*IF($A10&gt;=31,1+'설정'!$C$14*'설정'!$E$26,1)/$D10)^(-'설정'!$C$6),('설정'!$C$26*IF($A10&gt;=31,1+'설정'!$C$14*'설정'!$E$26,1)/$D10)^(-'설정'!$C$7))&gt;('설정'!$C$4+'설정'!$F$26),"실패",ROUND($E10*'설정'!$C$5*IF(('설정'!$C$26*IF($A10&gt;=31,1+'설정'!$C$14*'설정'!$E$26,1)/$D10)&lt;1,('설정'!$C$26*IF($A10&gt;=31,1+'설정'!$C$14*'설정'!$E$26,1)/$D10)^(-'설정'!$C$6),('설정'!$C$26*IF($A10&gt;=31,1+'설정'!$C$14*'설정'!$E$26,1)/$D10)^(-'설정'!$C$7)),0))</f>
        <v/>
      </c>
      <c r="M10" s="8">
        <f>IF($E10*'설정'!$C$5*IF(('설정'!$C$27*IF($A10&gt;=31,1+'설정'!$C$14*'설정'!$E$27,1)/$D10)&lt;1,('설정'!$C$27*IF($A10&gt;=31,1+'설정'!$C$14*'설정'!$E$27,1)/$D10)^(-'설정'!$C$6),('설정'!$C$27*IF($A10&gt;=31,1+'설정'!$C$14*'설정'!$E$27,1)/$D10)^(-'설정'!$C$7))&gt;('설정'!$C$4+'설정'!$F$27),"실패",ROUND($E10*'설정'!$C$5*IF(('설정'!$C$27*IF($A10&gt;=31,1+'설정'!$C$14*'설정'!$E$27,1)/$D10)&lt;1,('설정'!$C$27*IF($A10&gt;=31,1+'설정'!$C$14*'설정'!$E$27,1)/$D10)^(-'설정'!$C$6),('설정'!$C$27*IF($A10&gt;=31,1+'설정'!$C$14*'설정'!$E$27,1)/$D10)^(-'설정'!$C$7)),0))</f>
        <v/>
      </c>
      <c r="N10" s="8">
        <f>IF($E10*'설정'!$C$5*IF(('설정'!$C$28*IF($A10&gt;=31,1+'설정'!$C$14*'설정'!$E$28,1)/$D10)&lt;1,('설정'!$C$28*IF($A10&gt;=31,1+'설정'!$C$14*'설정'!$E$28,1)/$D10)^(-'설정'!$C$6),('설정'!$C$28*IF($A10&gt;=31,1+'설정'!$C$14*'설정'!$E$28,1)/$D10)^(-'설정'!$C$7))&gt;('설정'!$C$4+'설정'!$F$28),"실패",ROUND($E10*'설정'!$C$5*IF(('설정'!$C$28*IF($A10&gt;=31,1+'설정'!$C$14*'설정'!$E$28,1)/$D10)&lt;1,('설정'!$C$28*IF($A10&gt;=31,1+'설정'!$C$14*'설정'!$E$28,1)/$D10)^(-'설정'!$C$6),('설정'!$C$28*IF($A10&gt;=31,1+'설정'!$C$14*'설정'!$E$28,1)/$D10)^(-'설정'!$C$7)),0))</f>
        <v/>
      </c>
      <c r="O10" s="8">
        <f>IF($E10*'설정'!$C$5*IF(('설정'!$C$29*IF($A10&gt;=31,1+'설정'!$C$14*'설정'!$E$29,1)/$D10)&lt;1,('설정'!$C$29*IF($A10&gt;=31,1+'설정'!$C$14*'설정'!$E$29,1)/$D10)^(-'설정'!$C$6),('설정'!$C$29*IF($A10&gt;=31,1+'설정'!$C$14*'설정'!$E$29,1)/$D10)^(-'설정'!$C$7))&gt;('설정'!$C$4+'설정'!$F$29),"실패",ROUND($E10*'설정'!$C$5*IF(('설정'!$C$29*IF($A10&gt;=31,1+'설정'!$C$14*'설정'!$E$29,1)/$D10)&lt;1,('설정'!$C$29*IF($A10&gt;=31,1+'설정'!$C$14*'설정'!$E$29,1)/$D10)^(-'설정'!$C$6),('설정'!$C$29*IF($A10&gt;=31,1+'설정'!$C$14*'설정'!$E$29,1)/$D10)^(-'설정'!$C$7)),0))</f>
        <v/>
      </c>
      <c r="P10" s="8">
        <f>IF($E10*'설정'!$C$5*IF(('설정'!$C$30*IF($A10&gt;=31,1+'설정'!$C$14*'설정'!$E$30,1)/$D10)&lt;1,('설정'!$C$30*IF($A10&gt;=31,1+'설정'!$C$14*'설정'!$E$30,1)/$D10)^(-'설정'!$C$6),('설정'!$C$30*IF($A10&gt;=31,1+'설정'!$C$14*'설정'!$E$30,1)/$D10)^(-'설정'!$C$7))&gt;('설정'!$C$4+'설정'!$F$30),"실패",ROUND($E10*'설정'!$C$5*IF(('설정'!$C$30*IF($A10&gt;=31,1+'설정'!$C$14*'설정'!$E$30,1)/$D10)&lt;1,('설정'!$C$30*IF($A10&gt;=31,1+'설정'!$C$14*'설정'!$E$30,1)/$D10)^(-'설정'!$C$6),('설정'!$C$30*IF($A10&gt;=31,1+'설정'!$C$14*'설정'!$E$30,1)/$D10)^(-'설정'!$C$7)),0))</f>
        <v/>
      </c>
      <c r="Q10" s="8">
        <f>IF($E10*'설정'!$C$5*IF(('설정'!$C$31*IF($A10&gt;=31,1+'설정'!$C$14*'설정'!$E$31,1)/$D10)&lt;1,('설정'!$C$31*IF($A10&gt;=31,1+'설정'!$C$14*'설정'!$E$31,1)/$D10)^(-'설정'!$C$6),('설정'!$C$31*IF($A10&gt;=31,1+'설정'!$C$14*'설정'!$E$31,1)/$D10)^(-'설정'!$C$7))&gt;('설정'!$C$4+'설정'!$F$31),"실패",ROUND($E10*'설정'!$C$5*IF(('설정'!$C$31*IF($A10&gt;=31,1+'설정'!$C$14*'설정'!$E$31,1)/$D10)&lt;1,('설정'!$C$31*IF($A10&gt;=31,1+'설정'!$C$14*'설정'!$E$31,1)/$D10)^(-'설정'!$C$6),('설정'!$C$31*IF($A10&gt;=31,1+'설정'!$C$14*'설정'!$E$31,1)/$D10)^(-'설정'!$C$7)),0))</f>
        <v/>
      </c>
      <c r="R10" s="8">
        <f>IF($E10*'설정'!$C$5*IF(('설정'!$C$32*IF($A10&gt;=31,1+'설정'!$C$14*'설정'!$E$32,1)/$D10)&lt;1,('설정'!$C$32*IF($A10&gt;=31,1+'설정'!$C$14*'설정'!$E$32,1)/$D10)^(-'설정'!$C$6),('설정'!$C$32*IF($A10&gt;=31,1+'설정'!$C$14*'설정'!$E$32,1)/$D10)^(-'설정'!$C$7))&gt;('설정'!$C$4+'설정'!$F$32),"실패",ROUND($E10*'설정'!$C$5*IF(('설정'!$C$32*IF($A10&gt;=31,1+'설정'!$C$14*'설정'!$E$32,1)/$D10)&lt;1,('설정'!$C$32*IF($A10&gt;=31,1+'설정'!$C$14*'설정'!$E$32,1)/$D10)^(-'설정'!$C$6),('설정'!$C$32*IF($A10&gt;=31,1+'설정'!$C$14*'설정'!$E$32,1)/$D10)^(-'설정'!$C$7)),0))</f>
        <v/>
      </c>
      <c r="S10" s="8">
        <f>IF($E10*'설정'!$C$5*IF(('설정'!$C$33*IF($A10&gt;=31,1+'설정'!$C$14*'설정'!$E$33,1)/$D10)&lt;1,('설정'!$C$33*IF($A10&gt;=31,1+'설정'!$C$14*'설정'!$E$33,1)/$D10)^(-'설정'!$C$6),('설정'!$C$33*IF($A10&gt;=31,1+'설정'!$C$14*'설정'!$E$33,1)/$D10)^(-'설정'!$C$7))&gt;('설정'!$C$4+'설정'!$F$33),"실패",ROUND($E10*'설정'!$C$5*IF(('설정'!$C$33*IF($A10&gt;=31,1+'설정'!$C$14*'설정'!$E$33,1)/$D10)&lt;1,('설정'!$C$33*IF($A10&gt;=31,1+'설정'!$C$14*'설정'!$E$33,1)/$D10)^(-'설정'!$C$6),('설정'!$C$33*IF($A10&gt;=31,1+'설정'!$C$14*'설정'!$E$33,1)/$D10)^(-'설정'!$C$7)),0))</f>
        <v/>
      </c>
      <c r="T10" s="8">
        <f>IF($E10*'설정'!$C$5*IF(('설정'!$C$34*IF($A10&gt;=31,1+'설정'!$C$14*'설정'!$E$34,1)/$D10)&lt;1,('설정'!$C$34*IF($A10&gt;=31,1+'설정'!$C$14*'설정'!$E$34,1)/$D10)^(-'설정'!$C$6),('설정'!$C$34*IF($A10&gt;=31,1+'설정'!$C$14*'설정'!$E$34,1)/$D10)^(-'설정'!$C$7))&gt;('설정'!$C$4+'설정'!$F$34),"실패",ROUND($E10*'설정'!$C$5*IF(('설정'!$C$34*IF($A10&gt;=31,1+'설정'!$C$14*'설정'!$E$34,1)/$D10)&lt;1,('설정'!$C$34*IF($A10&gt;=31,1+'설정'!$C$14*'설정'!$E$34,1)/$D10)^(-'설정'!$C$6),('설정'!$C$34*IF($A10&gt;=31,1+'설정'!$C$14*'설정'!$E$34,1)/$D10)^(-'설정'!$C$7)),0))</f>
        <v/>
      </c>
      <c r="U10" s="8">
        <f>IF($E10*'설정'!$C$5*IF(('설정'!$C$35*IF($A10&gt;=31,1+'설정'!$C$14*'설정'!$E$35,1)/$D10)&lt;1,('설정'!$C$35*IF($A10&gt;=31,1+'설정'!$C$14*'설정'!$E$35,1)/$D10)^(-'설정'!$C$6),('설정'!$C$35*IF($A10&gt;=31,1+'설정'!$C$14*'설정'!$E$35,1)/$D10)^(-'설정'!$C$7))&gt;('설정'!$C$4+'설정'!$F$35),"실패",ROUND($E10*'설정'!$C$5*IF(('설정'!$C$35*IF($A10&gt;=31,1+'설정'!$C$14*'설정'!$E$35,1)/$D10)&lt;1,('설정'!$C$35*IF($A10&gt;=31,1+'설정'!$C$14*'설정'!$E$35,1)/$D10)^(-'설정'!$C$6),('설정'!$C$35*IF($A10&gt;=31,1+'설정'!$C$14*'설정'!$E$35,1)/$D10)^(-'설정'!$C$7)),0))</f>
        <v/>
      </c>
      <c r="V10" s="8">
        <f>IF($E10*'설정'!$C$5*IF(('설정'!$C$36*IF($A10&gt;=31,1+'설정'!$C$14*'설정'!$E$36,1)/$D10)&lt;1,('설정'!$C$36*IF($A10&gt;=31,1+'설정'!$C$14*'설정'!$E$36,1)/$D10)^(-'설정'!$C$6),('설정'!$C$36*IF($A10&gt;=31,1+'설정'!$C$14*'설정'!$E$36,1)/$D10)^(-'설정'!$C$7))&gt;('설정'!$C$4+'설정'!$F$36),"실패",ROUND($E10*'설정'!$C$5*IF(('설정'!$C$36*IF($A10&gt;=31,1+'설정'!$C$14*'설정'!$E$36,1)/$D10)&lt;1,('설정'!$C$36*IF($A10&gt;=31,1+'설정'!$C$14*'설정'!$E$36,1)/$D10)^(-'설정'!$C$6),('설정'!$C$36*IF($A10&gt;=31,1+'설정'!$C$14*'설정'!$E$36,1)/$D10)^(-'설정'!$C$7)),0))</f>
        <v/>
      </c>
      <c r="W10" s="8">
        <f>IF($E10*'설정'!$C$5*IF(('설정'!$C$37*IF($A10&gt;=31,1+'설정'!$C$14*'설정'!$E$37,1)/$D10)&lt;1,('설정'!$C$37*IF($A10&gt;=31,1+'설정'!$C$14*'설정'!$E$37,1)/$D10)^(-'설정'!$C$6),('설정'!$C$37*IF($A10&gt;=31,1+'설정'!$C$14*'설정'!$E$37,1)/$D10)^(-'설정'!$C$7))&gt;('설정'!$C$4+'설정'!$F$37),"실패",ROUND($E10*'설정'!$C$5*IF(('설정'!$C$37*IF($A10&gt;=31,1+'설정'!$C$14*'설정'!$E$37,1)/$D10)&lt;1,('설정'!$C$37*IF($A10&gt;=31,1+'설정'!$C$14*'설정'!$E$37,1)/$D10)^(-'설정'!$C$6),('설정'!$C$37*IF($A10&gt;=31,1+'설정'!$C$14*'설정'!$E$37,1)/$D10)^(-'설정'!$C$7)),0))</f>
        <v/>
      </c>
    </row>
    <row r="11">
      <c r="A11" t="n">
        <v>9</v>
      </c>
      <c r="B11" t="inlineStr">
        <is>
          <t>보통</t>
        </is>
      </c>
      <c r="C11" t="inlineStr"/>
      <c r="D11" s="6" t="n">
        <v>4270</v>
      </c>
      <c r="E11" t="n">
        <v>72</v>
      </c>
      <c r="F11" s="6" t="n">
        <v>85.39</v>
      </c>
      <c r="G11" t="n">
        <v>6</v>
      </c>
      <c r="H11" s="8">
        <f>IF($E11*'설정'!$C$5*IF(('설정'!$C$22*IF($A11&gt;=31,1+'설정'!$C$14*'설정'!$E$22,1)/$D11)&lt;1,('설정'!$C$22*IF($A11&gt;=31,1+'설정'!$C$14*'설정'!$E$22,1)/$D11)^(-'설정'!$C$6),('설정'!$C$22*IF($A11&gt;=31,1+'설정'!$C$14*'설정'!$E$22,1)/$D11)^(-'설정'!$C$7))&gt;('설정'!$C$4+'설정'!$F$22),"실패",ROUND($E11*'설정'!$C$5*IF(('설정'!$C$22*IF($A11&gt;=31,1+'설정'!$C$14*'설정'!$E$22,1)/$D11)&lt;1,('설정'!$C$22*IF($A11&gt;=31,1+'설정'!$C$14*'설정'!$E$22,1)/$D11)^(-'설정'!$C$6),('설정'!$C$22*IF($A11&gt;=31,1+'설정'!$C$14*'설정'!$E$22,1)/$D11)^(-'설정'!$C$7)),0))</f>
        <v/>
      </c>
      <c r="I11" s="8">
        <f>IF($E11*'설정'!$C$5*IF(('설정'!$C$23*IF($A11&gt;=31,1+'설정'!$C$14*'설정'!$E$23,1)/$D11)&lt;1,('설정'!$C$23*IF($A11&gt;=31,1+'설정'!$C$14*'설정'!$E$23,1)/$D11)^(-'설정'!$C$6),('설정'!$C$23*IF($A11&gt;=31,1+'설정'!$C$14*'설정'!$E$23,1)/$D11)^(-'설정'!$C$7))&gt;('설정'!$C$4+'설정'!$F$23),"실패",ROUND($E11*'설정'!$C$5*IF(('설정'!$C$23*IF($A11&gt;=31,1+'설정'!$C$14*'설정'!$E$23,1)/$D11)&lt;1,('설정'!$C$23*IF($A11&gt;=31,1+'설정'!$C$14*'설정'!$E$23,1)/$D11)^(-'설정'!$C$6),('설정'!$C$23*IF($A11&gt;=31,1+'설정'!$C$14*'설정'!$E$23,1)/$D11)^(-'설정'!$C$7)),0))</f>
        <v/>
      </c>
      <c r="J11" s="8">
        <f>IF($E11*'설정'!$C$5*IF(('설정'!$C$24*IF($A11&gt;=31,1+'설정'!$C$14*'설정'!$E$24,1)/$D11)&lt;1,('설정'!$C$24*IF($A11&gt;=31,1+'설정'!$C$14*'설정'!$E$24,1)/$D11)^(-'설정'!$C$6),('설정'!$C$24*IF($A11&gt;=31,1+'설정'!$C$14*'설정'!$E$24,1)/$D11)^(-'설정'!$C$7))&gt;('설정'!$C$4+'설정'!$F$24),"실패",ROUND($E11*'설정'!$C$5*IF(('설정'!$C$24*IF($A11&gt;=31,1+'설정'!$C$14*'설정'!$E$24,1)/$D11)&lt;1,('설정'!$C$24*IF($A11&gt;=31,1+'설정'!$C$14*'설정'!$E$24,1)/$D11)^(-'설정'!$C$6),('설정'!$C$24*IF($A11&gt;=31,1+'설정'!$C$14*'설정'!$E$24,1)/$D11)^(-'설정'!$C$7)),0))</f>
        <v/>
      </c>
      <c r="K11" s="8">
        <f>IF($E11*'설정'!$C$5*IF(('설정'!$C$25*IF($A11&gt;=31,1+'설정'!$C$14*'설정'!$E$25,1)/$D11)&lt;1,('설정'!$C$25*IF($A11&gt;=31,1+'설정'!$C$14*'설정'!$E$25,1)/$D11)^(-'설정'!$C$6),('설정'!$C$25*IF($A11&gt;=31,1+'설정'!$C$14*'설정'!$E$25,1)/$D11)^(-'설정'!$C$7))&gt;('설정'!$C$4+'설정'!$F$25),"실패",ROUND($E11*'설정'!$C$5*IF(('설정'!$C$25*IF($A11&gt;=31,1+'설정'!$C$14*'설정'!$E$25,1)/$D11)&lt;1,('설정'!$C$25*IF($A11&gt;=31,1+'설정'!$C$14*'설정'!$E$25,1)/$D11)^(-'설정'!$C$6),('설정'!$C$25*IF($A11&gt;=31,1+'설정'!$C$14*'설정'!$E$25,1)/$D11)^(-'설정'!$C$7)),0))</f>
        <v/>
      </c>
      <c r="L11" s="8">
        <f>IF($E11*'설정'!$C$5*IF(('설정'!$C$26*IF($A11&gt;=31,1+'설정'!$C$14*'설정'!$E$26,1)/$D11)&lt;1,('설정'!$C$26*IF($A11&gt;=31,1+'설정'!$C$14*'설정'!$E$26,1)/$D11)^(-'설정'!$C$6),('설정'!$C$26*IF($A11&gt;=31,1+'설정'!$C$14*'설정'!$E$26,1)/$D11)^(-'설정'!$C$7))&gt;('설정'!$C$4+'설정'!$F$26),"실패",ROUND($E11*'설정'!$C$5*IF(('설정'!$C$26*IF($A11&gt;=31,1+'설정'!$C$14*'설정'!$E$26,1)/$D11)&lt;1,('설정'!$C$26*IF($A11&gt;=31,1+'설정'!$C$14*'설정'!$E$26,1)/$D11)^(-'설정'!$C$6),('설정'!$C$26*IF($A11&gt;=31,1+'설정'!$C$14*'설정'!$E$26,1)/$D11)^(-'설정'!$C$7)),0))</f>
        <v/>
      </c>
      <c r="M11" s="8">
        <f>IF($E11*'설정'!$C$5*IF(('설정'!$C$27*IF($A11&gt;=31,1+'설정'!$C$14*'설정'!$E$27,1)/$D11)&lt;1,('설정'!$C$27*IF($A11&gt;=31,1+'설정'!$C$14*'설정'!$E$27,1)/$D11)^(-'설정'!$C$6),('설정'!$C$27*IF($A11&gt;=31,1+'설정'!$C$14*'설정'!$E$27,1)/$D11)^(-'설정'!$C$7))&gt;('설정'!$C$4+'설정'!$F$27),"실패",ROUND($E11*'설정'!$C$5*IF(('설정'!$C$27*IF($A11&gt;=31,1+'설정'!$C$14*'설정'!$E$27,1)/$D11)&lt;1,('설정'!$C$27*IF($A11&gt;=31,1+'설정'!$C$14*'설정'!$E$27,1)/$D11)^(-'설정'!$C$6),('설정'!$C$27*IF($A11&gt;=31,1+'설정'!$C$14*'설정'!$E$27,1)/$D11)^(-'설정'!$C$7)),0))</f>
        <v/>
      </c>
      <c r="N11" s="8">
        <f>IF($E11*'설정'!$C$5*IF(('설정'!$C$28*IF($A11&gt;=31,1+'설정'!$C$14*'설정'!$E$28,1)/$D11)&lt;1,('설정'!$C$28*IF($A11&gt;=31,1+'설정'!$C$14*'설정'!$E$28,1)/$D11)^(-'설정'!$C$6),('설정'!$C$28*IF($A11&gt;=31,1+'설정'!$C$14*'설정'!$E$28,1)/$D11)^(-'설정'!$C$7))&gt;('설정'!$C$4+'설정'!$F$28),"실패",ROUND($E11*'설정'!$C$5*IF(('설정'!$C$28*IF($A11&gt;=31,1+'설정'!$C$14*'설정'!$E$28,1)/$D11)&lt;1,('설정'!$C$28*IF($A11&gt;=31,1+'설정'!$C$14*'설정'!$E$28,1)/$D11)^(-'설정'!$C$6),('설정'!$C$28*IF($A11&gt;=31,1+'설정'!$C$14*'설정'!$E$28,1)/$D11)^(-'설정'!$C$7)),0))</f>
        <v/>
      </c>
      <c r="O11" s="8">
        <f>IF($E11*'설정'!$C$5*IF(('설정'!$C$29*IF($A11&gt;=31,1+'설정'!$C$14*'설정'!$E$29,1)/$D11)&lt;1,('설정'!$C$29*IF($A11&gt;=31,1+'설정'!$C$14*'설정'!$E$29,1)/$D11)^(-'설정'!$C$6),('설정'!$C$29*IF($A11&gt;=31,1+'설정'!$C$14*'설정'!$E$29,1)/$D11)^(-'설정'!$C$7))&gt;('설정'!$C$4+'설정'!$F$29),"실패",ROUND($E11*'설정'!$C$5*IF(('설정'!$C$29*IF($A11&gt;=31,1+'설정'!$C$14*'설정'!$E$29,1)/$D11)&lt;1,('설정'!$C$29*IF($A11&gt;=31,1+'설정'!$C$14*'설정'!$E$29,1)/$D11)^(-'설정'!$C$6),('설정'!$C$29*IF($A11&gt;=31,1+'설정'!$C$14*'설정'!$E$29,1)/$D11)^(-'설정'!$C$7)),0))</f>
        <v/>
      </c>
      <c r="P11" s="8">
        <f>IF($E11*'설정'!$C$5*IF(('설정'!$C$30*IF($A11&gt;=31,1+'설정'!$C$14*'설정'!$E$30,1)/$D11)&lt;1,('설정'!$C$30*IF($A11&gt;=31,1+'설정'!$C$14*'설정'!$E$30,1)/$D11)^(-'설정'!$C$6),('설정'!$C$30*IF($A11&gt;=31,1+'설정'!$C$14*'설정'!$E$30,1)/$D11)^(-'설정'!$C$7))&gt;('설정'!$C$4+'설정'!$F$30),"실패",ROUND($E11*'설정'!$C$5*IF(('설정'!$C$30*IF($A11&gt;=31,1+'설정'!$C$14*'설정'!$E$30,1)/$D11)&lt;1,('설정'!$C$30*IF($A11&gt;=31,1+'설정'!$C$14*'설정'!$E$30,1)/$D11)^(-'설정'!$C$6),('설정'!$C$30*IF($A11&gt;=31,1+'설정'!$C$14*'설정'!$E$30,1)/$D11)^(-'설정'!$C$7)),0))</f>
        <v/>
      </c>
      <c r="Q11" s="8">
        <f>IF($E11*'설정'!$C$5*IF(('설정'!$C$31*IF($A11&gt;=31,1+'설정'!$C$14*'설정'!$E$31,1)/$D11)&lt;1,('설정'!$C$31*IF($A11&gt;=31,1+'설정'!$C$14*'설정'!$E$31,1)/$D11)^(-'설정'!$C$6),('설정'!$C$31*IF($A11&gt;=31,1+'설정'!$C$14*'설정'!$E$31,1)/$D11)^(-'설정'!$C$7))&gt;('설정'!$C$4+'설정'!$F$31),"실패",ROUND($E11*'설정'!$C$5*IF(('설정'!$C$31*IF($A11&gt;=31,1+'설정'!$C$14*'설정'!$E$31,1)/$D11)&lt;1,('설정'!$C$31*IF($A11&gt;=31,1+'설정'!$C$14*'설정'!$E$31,1)/$D11)^(-'설정'!$C$6),('설정'!$C$31*IF($A11&gt;=31,1+'설정'!$C$14*'설정'!$E$31,1)/$D11)^(-'설정'!$C$7)),0))</f>
        <v/>
      </c>
      <c r="R11" s="8">
        <f>IF($E11*'설정'!$C$5*IF(('설정'!$C$32*IF($A11&gt;=31,1+'설정'!$C$14*'설정'!$E$32,1)/$D11)&lt;1,('설정'!$C$32*IF($A11&gt;=31,1+'설정'!$C$14*'설정'!$E$32,1)/$D11)^(-'설정'!$C$6),('설정'!$C$32*IF($A11&gt;=31,1+'설정'!$C$14*'설정'!$E$32,1)/$D11)^(-'설정'!$C$7))&gt;('설정'!$C$4+'설정'!$F$32),"실패",ROUND($E11*'설정'!$C$5*IF(('설정'!$C$32*IF($A11&gt;=31,1+'설정'!$C$14*'설정'!$E$32,1)/$D11)&lt;1,('설정'!$C$32*IF($A11&gt;=31,1+'설정'!$C$14*'설정'!$E$32,1)/$D11)^(-'설정'!$C$6),('설정'!$C$32*IF($A11&gt;=31,1+'설정'!$C$14*'설정'!$E$32,1)/$D11)^(-'설정'!$C$7)),0))</f>
        <v/>
      </c>
      <c r="S11" s="8">
        <f>IF($E11*'설정'!$C$5*IF(('설정'!$C$33*IF($A11&gt;=31,1+'설정'!$C$14*'설정'!$E$33,1)/$D11)&lt;1,('설정'!$C$33*IF($A11&gt;=31,1+'설정'!$C$14*'설정'!$E$33,1)/$D11)^(-'설정'!$C$6),('설정'!$C$33*IF($A11&gt;=31,1+'설정'!$C$14*'설정'!$E$33,1)/$D11)^(-'설정'!$C$7))&gt;('설정'!$C$4+'설정'!$F$33),"실패",ROUND($E11*'설정'!$C$5*IF(('설정'!$C$33*IF($A11&gt;=31,1+'설정'!$C$14*'설정'!$E$33,1)/$D11)&lt;1,('설정'!$C$33*IF($A11&gt;=31,1+'설정'!$C$14*'설정'!$E$33,1)/$D11)^(-'설정'!$C$6),('설정'!$C$33*IF($A11&gt;=31,1+'설정'!$C$14*'설정'!$E$33,1)/$D11)^(-'설정'!$C$7)),0))</f>
        <v/>
      </c>
      <c r="T11" s="8">
        <f>IF($E11*'설정'!$C$5*IF(('설정'!$C$34*IF($A11&gt;=31,1+'설정'!$C$14*'설정'!$E$34,1)/$D11)&lt;1,('설정'!$C$34*IF($A11&gt;=31,1+'설정'!$C$14*'설정'!$E$34,1)/$D11)^(-'설정'!$C$6),('설정'!$C$34*IF($A11&gt;=31,1+'설정'!$C$14*'설정'!$E$34,1)/$D11)^(-'설정'!$C$7))&gt;('설정'!$C$4+'설정'!$F$34),"실패",ROUND($E11*'설정'!$C$5*IF(('설정'!$C$34*IF($A11&gt;=31,1+'설정'!$C$14*'설정'!$E$34,1)/$D11)&lt;1,('설정'!$C$34*IF($A11&gt;=31,1+'설정'!$C$14*'설정'!$E$34,1)/$D11)^(-'설정'!$C$6),('설정'!$C$34*IF($A11&gt;=31,1+'설정'!$C$14*'설정'!$E$34,1)/$D11)^(-'설정'!$C$7)),0))</f>
        <v/>
      </c>
      <c r="U11" s="8">
        <f>IF($E11*'설정'!$C$5*IF(('설정'!$C$35*IF($A11&gt;=31,1+'설정'!$C$14*'설정'!$E$35,1)/$D11)&lt;1,('설정'!$C$35*IF($A11&gt;=31,1+'설정'!$C$14*'설정'!$E$35,1)/$D11)^(-'설정'!$C$6),('설정'!$C$35*IF($A11&gt;=31,1+'설정'!$C$14*'설정'!$E$35,1)/$D11)^(-'설정'!$C$7))&gt;('설정'!$C$4+'설정'!$F$35),"실패",ROUND($E11*'설정'!$C$5*IF(('설정'!$C$35*IF($A11&gt;=31,1+'설정'!$C$14*'설정'!$E$35,1)/$D11)&lt;1,('설정'!$C$35*IF($A11&gt;=31,1+'설정'!$C$14*'설정'!$E$35,1)/$D11)^(-'설정'!$C$6),('설정'!$C$35*IF($A11&gt;=31,1+'설정'!$C$14*'설정'!$E$35,1)/$D11)^(-'설정'!$C$7)),0))</f>
        <v/>
      </c>
      <c r="V11" s="8">
        <f>IF($E11*'설정'!$C$5*IF(('설정'!$C$36*IF($A11&gt;=31,1+'설정'!$C$14*'설정'!$E$36,1)/$D11)&lt;1,('설정'!$C$36*IF($A11&gt;=31,1+'설정'!$C$14*'설정'!$E$36,1)/$D11)^(-'설정'!$C$6),('설정'!$C$36*IF($A11&gt;=31,1+'설정'!$C$14*'설정'!$E$36,1)/$D11)^(-'설정'!$C$7))&gt;('설정'!$C$4+'설정'!$F$36),"실패",ROUND($E11*'설정'!$C$5*IF(('설정'!$C$36*IF($A11&gt;=31,1+'설정'!$C$14*'설정'!$E$36,1)/$D11)&lt;1,('설정'!$C$36*IF($A11&gt;=31,1+'설정'!$C$14*'설정'!$E$36,1)/$D11)^(-'설정'!$C$6),('설정'!$C$36*IF($A11&gt;=31,1+'설정'!$C$14*'설정'!$E$36,1)/$D11)^(-'설정'!$C$7)),0))</f>
        <v/>
      </c>
      <c r="W11" s="8">
        <f>IF($E11*'설정'!$C$5*IF(('설정'!$C$37*IF($A11&gt;=31,1+'설정'!$C$14*'설정'!$E$37,1)/$D11)&lt;1,('설정'!$C$37*IF($A11&gt;=31,1+'설정'!$C$14*'설정'!$E$37,1)/$D11)^(-'설정'!$C$6),('설정'!$C$37*IF($A11&gt;=31,1+'설정'!$C$14*'설정'!$E$37,1)/$D11)^(-'설정'!$C$7))&gt;('설정'!$C$4+'설정'!$F$37),"실패",ROUND($E11*'설정'!$C$5*IF(('설정'!$C$37*IF($A11&gt;=31,1+'설정'!$C$14*'설정'!$E$37,1)/$D11)&lt;1,('설정'!$C$37*IF($A11&gt;=31,1+'설정'!$C$14*'설정'!$E$37,1)/$D11)^(-'설정'!$C$6),('설정'!$C$37*IF($A11&gt;=31,1+'설정'!$C$14*'설정'!$E$37,1)/$D11)^(-'설정'!$C$7)),0))</f>
        <v/>
      </c>
    </row>
    <row r="12">
      <c r="A12" s="4" t="n">
        <v>10</v>
      </c>
      <c r="B12" s="4" t="inlineStr">
        <is>
          <t>보통</t>
        </is>
      </c>
      <c r="C12" s="4" t="inlineStr">
        <is>
          <t>보스</t>
        </is>
      </c>
      <c r="D12" s="9" t="n">
        <v>5640</v>
      </c>
      <c r="E12" s="4" t="n">
        <v>72</v>
      </c>
      <c r="F12" s="9" t="n">
        <v>113</v>
      </c>
      <c r="G12" s="4" t="n">
        <v>6</v>
      </c>
      <c r="H12" s="8">
        <f>IF($E12*'설정'!$C$5*IF(('설정'!$C$22*IF($A12&gt;=31,1+'설정'!$C$14*'설정'!$E$22,1)/$D12)&lt;1,('설정'!$C$22*IF($A12&gt;=31,1+'설정'!$C$14*'설정'!$E$22,1)/$D12)^(-'설정'!$C$6),('설정'!$C$22*IF($A12&gt;=31,1+'설정'!$C$14*'설정'!$E$22,1)/$D12)^(-'설정'!$C$7))&gt;('설정'!$C$4+'설정'!$F$22+'설정'!$G$22),"실패",ROUND($E12*'설정'!$C$5*IF(('설정'!$C$22*IF($A12&gt;=31,1+'설정'!$C$14*'설정'!$E$22,1)/$D12)&lt;1,('설정'!$C$22*IF($A12&gt;=31,1+'설정'!$C$14*'설정'!$E$22,1)/$D12)^(-'설정'!$C$6),('설정'!$C$22*IF($A12&gt;=31,1+'설정'!$C$14*'설정'!$E$22,1)/$D12)^(-'설정'!$C$7)),0))</f>
        <v/>
      </c>
      <c r="I12" s="8">
        <f>IF($E12*'설정'!$C$5*IF(('설정'!$C$23*IF($A12&gt;=31,1+'설정'!$C$14*'설정'!$E$23,1)/$D12)&lt;1,('설정'!$C$23*IF($A12&gt;=31,1+'설정'!$C$14*'설정'!$E$23,1)/$D12)^(-'설정'!$C$6),('설정'!$C$23*IF($A12&gt;=31,1+'설정'!$C$14*'설정'!$E$23,1)/$D12)^(-'설정'!$C$7))&gt;('설정'!$C$4+'설정'!$F$23+'설정'!$G$23),"실패",ROUND($E12*'설정'!$C$5*IF(('설정'!$C$23*IF($A12&gt;=31,1+'설정'!$C$14*'설정'!$E$23,1)/$D12)&lt;1,('설정'!$C$23*IF($A12&gt;=31,1+'설정'!$C$14*'설정'!$E$23,1)/$D12)^(-'설정'!$C$6),('설정'!$C$23*IF($A12&gt;=31,1+'설정'!$C$14*'설정'!$E$23,1)/$D12)^(-'설정'!$C$7)),0))</f>
        <v/>
      </c>
      <c r="J12" s="8">
        <f>IF($E12*'설정'!$C$5*IF(('설정'!$C$24*IF($A12&gt;=31,1+'설정'!$C$14*'설정'!$E$24,1)/$D12)&lt;1,('설정'!$C$24*IF($A12&gt;=31,1+'설정'!$C$14*'설정'!$E$24,1)/$D12)^(-'설정'!$C$6),('설정'!$C$24*IF($A12&gt;=31,1+'설정'!$C$14*'설정'!$E$24,1)/$D12)^(-'설정'!$C$7))&gt;('설정'!$C$4+'설정'!$F$24+'설정'!$G$24),"실패",ROUND($E12*'설정'!$C$5*IF(('설정'!$C$24*IF($A12&gt;=31,1+'설정'!$C$14*'설정'!$E$24,1)/$D12)&lt;1,('설정'!$C$24*IF($A12&gt;=31,1+'설정'!$C$14*'설정'!$E$24,1)/$D12)^(-'설정'!$C$6),('설정'!$C$24*IF($A12&gt;=31,1+'설정'!$C$14*'설정'!$E$24,1)/$D12)^(-'설정'!$C$7)),0))</f>
        <v/>
      </c>
      <c r="K12" s="8">
        <f>IF($E12*'설정'!$C$5*IF(('설정'!$C$25*IF($A12&gt;=31,1+'설정'!$C$14*'설정'!$E$25,1)/$D12)&lt;1,('설정'!$C$25*IF($A12&gt;=31,1+'설정'!$C$14*'설정'!$E$25,1)/$D12)^(-'설정'!$C$6),('설정'!$C$25*IF($A12&gt;=31,1+'설정'!$C$14*'설정'!$E$25,1)/$D12)^(-'설정'!$C$7))&gt;('설정'!$C$4+'설정'!$F$25+'설정'!$G$25),"실패",ROUND($E12*'설정'!$C$5*IF(('설정'!$C$25*IF($A12&gt;=31,1+'설정'!$C$14*'설정'!$E$25,1)/$D12)&lt;1,('설정'!$C$25*IF($A12&gt;=31,1+'설정'!$C$14*'설정'!$E$25,1)/$D12)^(-'설정'!$C$6),('설정'!$C$25*IF($A12&gt;=31,1+'설정'!$C$14*'설정'!$E$25,1)/$D12)^(-'설정'!$C$7)),0))</f>
        <v/>
      </c>
      <c r="L12" s="8">
        <f>IF($E12*'설정'!$C$5*IF(('설정'!$C$26*IF($A12&gt;=31,1+'설정'!$C$14*'설정'!$E$26,1)/$D12)&lt;1,('설정'!$C$26*IF($A12&gt;=31,1+'설정'!$C$14*'설정'!$E$26,1)/$D12)^(-'설정'!$C$6),('설정'!$C$26*IF($A12&gt;=31,1+'설정'!$C$14*'설정'!$E$26,1)/$D12)^(-'설정'!$C$7))&gt;('설정'!$C$4+'설정'!$F$26+'설정'!$G$26),"실패",ROUND($E12*'설정'!$C$5*IF(('설정'!$C$26*IF($A12&gt;=31,1+'설정'!$C$14*'설정'!$E$26,1)/$D12)&lt;1,('설정'!$C$26*IF($A12&gt;=31,1+'설정'!$C$14*'설정'!$E$26,1)/$D12)^(-'설정'!$C$6),('설정'!$C$26*IF($A12&gt;=31,1+'설정'!$C$14*'설정'!$E$26,1)/$D12)^(-'설정'!$C$7)),0))</f>
        <v/>
      </c>
      <c r="M12" s="8">
        <f>IF($E12*'설정'!$C$5*IF(('설정'!$C$27*IF($A12&gt;=31,1+'설정'!$C$14*'설정'!$E$27,1)/$D12)&lt;1,('설정'!$C$27*IF($A12&gt;=31,1+'설정'!$C$14*'설정'!$E$27,1)/$D12)^(-'설정'!$C$6),('설정'!$C$27*IF($A12&gt;=31,1+'설정'!$C$14*'설정'!$E$27,1)/$D12)^(-'설정'!$C$7))&gt;('설정'!$C$4+'설정'!$F$27+'설정'!$G$27),"실패",ROUND($E12*'설정'!$C$5*IF(('설정'!$C$27*IF($A12&gt;=31,1+'설정'!$C$14*'설정'!$E$27,1)/$D12)&lt;1,('설정'!$C$27*IF($A12&gt;=31,1+'설정'!$C$14*'설정'!$E$27,1)/$D12)^(-'설정'!$C$6),('설정'!$C$27*IF($A12&gt;=31,1+'설정'!$C$14*'설정'!$E$27,1)/$D12)^(-'설정'!$C$7)),0))</f>
        <v/>
      </c>
      <c r="N12" s="8">
        <f>IF($E12*'설정'!$C$5*IF(('설정'!$C$28*IF($A12&gt;=31,1+'설정'!$C$14*'설정'!$E$28,1)/$D12)&lt;1,('설정'!$C$28*IF($A12&gt;=31,1+'설정'!$C$14*'설정'!$E$28,1)/$D12)^(-'설정'!$C$6),('설정'!$C$28*IF($A12&gt;=31,1+'설정'!$C$14*'설정'!$E$28,1)/$D12)^(-'설정'!$C$7))&gt;('설정'!$C$4+'설정'!$F$28+'설정'!$G$28),"실패",ROUND($E12*'설정'!$C$5*IF(('설정'!$C$28*IF($A12&gt;=31,1+'설정'!$C$14*'설정'!$E$28,1)/$D12)&lt;1,('설정'!$C$28*IF($A12&gt;=31,1+'설정'!$C$14*'설정'!$E$28,1)/$D12)^(-'설정'!$C$6),('설정'!$C$28*IF($A12&gt;=31,1+'설정'!$C$14*'설정'!$E$28,1)/$D12)^(-'설정'!$C$7)),0))</f>
        <v/>
      </c>
      <c r="O12" s="8">
        <f>IF($E12*'설정'!$C$5*IF(('설정'!$C$29*IF($A12&gt;=31,1+'설정'!$C$14*'설정'!$E$29,1)/$D12)&lt;1,('설정'!$C$29*IF($A12&gt;=31,1+'설정'!$C$14*'설정'!$E$29,1)/$D12)^(-'설정'!$C$6),('설정'!$C$29*IF($A12&gt;=31,1+'설정'!$C$14*'설정'!$E$29,1)/$D12)^(-'설정'!$C$7))&gt;('설정'!$C$4+'설정'!$F$29+'설정'!$G$29),"실패",ROUND($E12*'설정'!$C$5*IF(('설정'!$C$29*IF($A12&gt;=31,1+'설정'!$C$14*'설정'!$E$29,1)/$D12)&lt;1,('설정'!$C$29*IF($A12&gt;=31,1+'설정'!$C$14*'설정'!$E$29,1)/$D12)^(-'설정'!$C$6),('설정'!$C$29*IF($A12&gt;=31,1+'설정'!$C$14*'설정'!$E$29,1)/$D12)^(-'설정'!$C$7)),0))</f>
        <v/>
      </c>
      <c r="P12" s="8">
        <f>IF($E12*'설정'!$C$5*IF(('설정'!$C$30*IF($A12&gt;=31,1+'설정'!$C$14*'설정'!$E$30,1)/$D12)&lt;1,('설정'!$C$30*IF($A12&gt;=31,1+'설정'!$C$14*'설정'!$E$30,1)/$D12)^(-'설정'!$C$6),('설정'!$C$30*IF($A12&gt;=31,1+'설정'!$C$14*'설정'!$E$30,1)/$D12)^(-'설정'!$C$7))&gt;('설정'!$C$4+'설정'!$F$30+'설정'!$G$30),"실패",ROUND($E12*'설정'!$C$5*IF(('설정'!$C$30*IF($A12&gt;=31,1+'설정'!$C$14*'설정'!$E$30,1)/$D12)&lt;1,('설정'!$C$30*IF($A12&gt;=31,1+'설정'!$C$14*'설정'!$E$30,1)/$D12)^(-'설정'!$C$6),('설정'!$C$30*IF($A12&gt;=31,1+'설정'!$C$14*'설정'!$E$30,1)/$D12)^(-'설정'!$C$7)),0))</f>
        <v/>
      </c>
      <c r="Q12" s="8">
        <f>IF($E12*'설정'!$C$5*IF(('설정'!$C$31*IF($A12&gt;=31,1+'설정'!$C$14*'설정'!$E$31,1)/$D12)&lt;1,('설정'!$C$31*IF($A12&gt;=31,1+'설정'!$C$14*'설정'!$E$31,1)/$D12)^(-'설정'!$C$6),('설정'!$C$31*IF($A12&gt;=31,1+'설정'!$C$14*'설정'!$E$31,1)/$D12)^(-'설정'!$C$7))&gt;('설정'!$C$4+'설정'!$F$31+'설정'!$G$31),"실패",ROUND($E12*'설정'!$C$5*IF(('설정'!$C$31*IF($A12&gt;=31,1+'설정'!$C$14*'설정'!$E$31,1)/$D12)&lt;1,('설정'!$C$31*IF($A12&gt;=31,1+'설정'!$C$14*'설정'!$E$31,1)/$D12)^(-'설정'!$C$6),('설정'!$C$31*IF($A12&gt;=31,1+'설정'!$C$14*'설정'!$E$31,1)/$D12)^(-'설정'!$C$7)),0))</f>
        <v/>
      </c>
      <c r="R12" s="8">
        <f>IF($E12*'설정'!$C$5*IF(('설정'!$C$32*IF($A12&gt;=31,1+'설정'!$C$14*'설정'!$E$32,1)/$D12)&lt;1,('설정'!$C$32*IF($A12&gt;=31,1+'설정'!$C$14*'설정'!$E$32,1)/$D12)^(-'설정'!$C$6),('설정'!$C$32*IF($A12&gt;=31,1+'설정'!$C$14*'설정'!$E$32,1)/$D12)^(-'설정'!$C$7))&gt;('설정'!$C$4+'설정'!$F$32+'설정'!$G$32),"실패",ROUND($E12*'설정'!$C$5*IF(('설정'!$C$32*IF($A12&gt;=31,1+'설정'!$C$14*'설정'!$E$32,1)/$D12)&lt;1,('설정'!$C$32*IF($A12&gt;=31,1+'설정'!$C$14*'설정'!$E$32,1)/$D12)^(-'설정'!$C$6),('설정'!$C$32*IF($A12&gt;=31,1+'설정'!$C$14*'설정'!$E$32,1)/$D12)^(-'설정'!$C$7)),0))</f>
        <v/>
      </c>
      <c r="S12" s="8">
        <f>IF($E12*'설정'!$C$5*IF(('설정'!$C$33*IF($A12&gt;=31,1+'설정'!$C$14*'설정'!$E$33,1)/$D12)&lt;1,('설정'!$C$33*IF($A12&gt;=31,1+'설정'!$C$14*'설정'!$E$33,1)/$D12)^(-'설정'!$C$6),('설정'!$C$33*IF($A12&gt;=31,1+'설정'!$C$14*'설정'!$E$33,1)/$D12)^(-'설정'!$C$7))&gt;('설정'!$C$4+'설정'!$F$33+'설정'!$G$33),"실패",ROUND($E12*'설정'!$C$5*IF(('설정'!$C$33*IF($A12&gt;=31,1+'설정'!$C$14*'설정'!$E$33,1)/$D12)&lt;1,('설정'!$C$33*IF($A12&gt;=31,1+'설정'!$C$14*'설정'!$E$33,1)/$D12)^(-'설정'!$C$6),('설정'!$C$33*IF($A12&gt;=31,1+'설정'!$C$14*'설정'!$E$33,1)/$D12)^(-'설정'!$C$7)),0))</f>
        <v/>
      </c>
      <c r="T12" s="8">
        <f>IF($E12*'설정'!$C$5*IF(('설정'!$C$34*IF($A12&gt;=31,1+'설정'!$C$14*'설정'!$E$34,1)/$D12)&lt;1,('설정'!$C$34*IF($A12&gt;=31,1+'설정'!$C$14*'설정'!$E$34,1)/$D12)^(-'설정'!$C$6),('설정'!$C$34*IF($A12&gt;=31,1+'설정'!$C$14*'설정'!$E$34,1)/$D12)^(-'설정'!$C$7))&gt;('설정'!$C$4+'설정'!$F$34+'설정'!$G$34),"실패",ROUND($E12*'설정'!$C$5*IF(('설정'!$C$34*IF($A12&gt;=31,1+'설정'!$C$14*'설정'!$E$34,1)/$D12)&lt;1,('설정'!$C$34*IF($A12&gt;=31,1+'설정'!$C$14*'설정'!$E$34,1)/$D12)^(-'설정'!$C$6),('설정'!$C$34*IF($A12&gt;=31,1+'설정'!$C$14*'설정'!$E$34,1)/$D12)^(-'설정'!$C$7)),0))</f>
        <v/>
      </c>
      <c r="U12" s="8">
        <f>IF($E12*'설정'!$C$5*IF(('설정'!$C$35*IF($A12&gt;=31,1+'설정'!$C$14*'설정'!$E$35,1)/$D12)&lt;1,('설정'!$C$35*IF($A12&gt;=31,1+'설정'!$C$14*'설정'!$E$35,1)/$D12)^(-'설정'!$C$6),('설정'!$C$35*IF($A12&gt;=31,1+'설정'!$C$14*'설정'!$E$35,1)/$D12)^(-'설정'!$C$7))&gt;('설정'!$C$4+'설정'!$F$35+'설정'!$G$35),"실패",ROUND($E12*'설정'!$C$5*IF(('설정'!$C$35*IF($A12&gt;=31,1+'설정'!$C$14*'설정'!$E$35,1)/$D12)&lt;1,('설정'!$C$35*IF($A12&gt;=31,1+'설정'!$C$14*'설정'!$E$35,1)/$D12)^(-'설정'!$C$6),('설정'!$C$35*IF($A12&gt;=31,1+'설정'!$C$14*'설정'!$E$35,1)/$D12)^(-'설정'!$C$7)),0))</f>
        <v/>
      </c>
      <c r="V12" s="8">
        <f>IF($E12*'설정'!$C$5*IF(('설정'!$C$36*IF($A12&gt;=31,1+'설정'!$C$14*'설정'!$E$36,1)/$D12)&lt;1,('설정'!$C$36*IF($A12&gt;=31,1+'설정'!$C$14*'설정'!$E$36,1)/$D12)^(-'설정'!$C$6),('설정'!$C$36*IF($A12&gt;=31,1+'설정'!$C$14*'설정'!$E$36,1)/$D12)^(-'설정'!$C$7))&gt;('설정'!$C$4+'설정'!$F$36+'설정'!$G$36),"실패",ROUND($E12*'설정'!$C$5*IF(('설정'!$C$36*IF($A12&gt;=31,1+'설정'!$C$14*'설정'!$E$36,1)/$D12)&lt;1,('설정'!$C$36*IF($A12&gt;=31,1+'설정'!$C$14*'설정'!$E$36,1)/$D12)^(-'설정'!$C$6),('설정'!$C$36*IF($A12&gt;=31,1+'설정'!$C$14*'설정'!$E$36,1)/$D12)^(-'설정'!$C$7)),0))</f>
        <v/>
      </c>
      <c r="W12" s="8">
        <f>IF($E12*'설정'!$C$5*IF(('설정'!$C$37*IF($A12&gt;=31,1+'설정'!$C$14*'설정'!$E$37,1)/$D12)&lt;1,('설정'!$C$37*IF($A12&gt;=31,1+'설정'!$C$14*'설정'!$E$37,1)/$D12)^(-'설정'!$C$6),('설정'!$C$37*IF($A12&gt;=31,1+'설정'!$C$14*'설정'!$E$37,1)/$D12)^(-'설정'!$C$7))&gt;('설정'!$C$4+'설정'!$F$37+'설정'!$G$37),"실패",ROUND($E12*'설정'!$C$5*IF(('설정'!$C$37*IF($A12&gt;=31,1+'설정'!$C$14*'설정'!$E$37,1)/$D12)&lt;1,('설정'!$C$37*IF($A12&gt;=31,1+'설정'!$C$14*'설정'!$E$37,1)/$D12)^(-'설정'!$C$6),('설정'!$C$37*IF($A12&gt;=31,1+'설정'!$C$14*'설정'!$E$37,1)/$D12)^(-'설정'!$C$7)),0))</f>
        <v/>
      </c>
    </row>
    <row r="13">
      <c r="A13" t="n">
        <v>11</v>
      </c>
      <c r="B13" t="inlineStr">
        <is>
          <t>보통</t>
        </is>
      </c>
      <c r="C13" t="inlineStr"/>
      <c r="D13" s="6" t="n">
        <v>7440</v>
      </c>
      <c r="E13" t="n">
        <v>72</v>
      </c>
      <c r="F13" s="6" t="n">
        <v>149</v>
      </c>
      <c r="G13" t="n">
        <v>7</v>
      </c>
      <c r="H13" s="8">
        <f>IF($E13*'설정'!$C$5*IF(('설정'!$C$22*IF($A13&gt;=31,1+'설정'!$C$14*'설정'!$E$22,1)/$D13)&lt;1,('설정'!$C$22*IF($A13&gt;=31,1+'설정'!$C$14*'설정'!$E$22,1)/$D13)^(-'설정'!$C$6),('설정'!$C$22*IF($A13&gt;=31,1+'설정'!$C$14*'설정'!$E$22,1)/$D13)^(-'설정'!$C$7))&gt;('설정'!$C$4+'설정'!$F$22),"실패",ROUND($E13*'설정'!$C$5*IF(('설정'!$C$22*IF($A13&gt;=31,1+'설정'!$C$14*'설정'!$E$22,1)/$D13)&lt;1,('설정'!$C$22*IF($A13&gt;=31,1+'설정'!$C$14*'설정'!$E$22,1)/$D13)^(-'설정'!$C$6),('설정'!$C$22*IF($A13&gt;=31,1+'설정'!$C$14*'설정'!$E$22,1)/$D13)^(-'설정'!$C$7)),0))</f>
        <v/>
      </c>
      <c r="I13" s="8">
        <f>IF($E13*'설정'!$C$5*IF(('설정'!$C$23*IF($A13&gt;=31,1+'설정'!$C$14*'설정'!$E$23,1)/$D13)&lt;1,('설정'!$C$23*IF($A13&gt;=31,1+'설정'!$C$14*'설정'!$E$23,1)/$D13)^(-'설정'!$C$6),('설정'!$C$23*IF($A13&gt;=31,1+'설정'!$C$14*'설정'!$E$23,1)/$D13)^(-'설정'!$C$7))&gt;('설정'!$C$4+'설정'!$F$23),"실패",ROUND($E13*'설정'!$C$5*IF(('설정'!$C$23*IF($A13&gt;=31,1+'설정'!$C$14*'설정'!$E$23,1)/$D13)&lt;1,('설정'!$C$23*IF($A13&gt;=31,1+'설정'!$C$14*'설정'!$E$23,1)/$D13)^(-'설정'!$C$6),('설정'!$C$23*IF($A13&gt;=31,1+'설정'!$C$14*'설정'!$E$23,1)/$D13)^(-'설정'!$C$7)),0))</f>
        <v/>
      </c>
      <c r="J13" s="8">
        <f>IF($E13*'설정'!$C$5*IF(('설정'!$C$24*IF($A13&gt;=31,1+'설정'!$C$14*'설정'!$E$24,1)/$D13)&lt;1,('설정'!$C$24*IF($A13&gt;=31,1+'설정'!$C$14*'설정'!$E$24,1)/$D13)^(-'설정'!$C$6),('설정'!$C$24*IF($A13&gt;=31,1+'설정'!$C$14*'설정'!$E$24,1)/$D13)^(-'설정'!$C$7))&gt;('설정'!$C$4+'설정'!$F$24),"실패",ROUND($E13*'설정'!$C$5*IF(('설정'!$C$24*IF($A13&gt;=31,1+'설정'!$C$14*'설정'!$E$24,1)/$D13)&lt;1,('설정'!$C$24*IF($A13&gt;=31,1+'설정'!$C$14*'설정'!$E$24,1)/$D13)^(-'설정'!$C$6),('설정'!$C$24*IF($A13&gt;=31,1+'설정'!$C$14*'설정'!$E$24,1)/$D13)^(-'설정'!$C$7)),0))</f>
        <v/>
      </c>
      <c r="K13" s="8">
        <f>IF($E13*'설정'!$C$5*IF(('설정'!$C$25*IF($A13&gt;=31,1+'설정'!$C$14*'설정'!$E$25,1)/$D13)&lt;1,('설정'!$C$25*IF($A13&gt;=31,1+'설정'!$C$14*'설정'!$E$25,1)/$D13)^(-'설정'!$C$6),('설정'!$C$25*IF($A13&gt;=31,1+'설정'!$C$14*'설정'!$E$25,1)/$D13)^(-'설정'!$C$7))&gt;('설정'!$C$4+'설정'!$F$25),"실패",ROUND($E13*'설정'!$C$5*IF(('설정'!$C$25*IF($A13&gt;=31,1+'설정'!$C$14*'설정'!$E$25,1)/$D13)&lt;1,('설정'!$C$25*IF($A13&gt;=31,1+'설정'!$C$14*'설정'!$E$25,1)/$D13)^(-'설정'!$C$6),('설정'!$C$25*IF($A13&gt;=31,1+'설정'!$C$14*'설정'!$E$25,1)/$D13)^(-'설정'!$C$7)),0))</f>
        <v/>
      </c>
      <c r="L13" s="8">
        <f>IF($E13*'설정'!$C$5*IF(('설정'!$C$26*IF($A13&gt;=31,1+'설정'!$C$14*'설정'!$E$26,1)/$D13)&lt;1,('설정'!$C$26*IF($A13&gt;=31,1+'설정'!$C$14*'설정'!$E$26,1)/$D13)^(-'설정'!$C$6),('설정'!$C$26*IF($A13&gt;=31,1+'설정'!$C$14*'설정'!$E$26,1)/$D13)^(-'설정'!$C$7))&gt;('설정'!$C$4+'설정'!$F$26),"실패",ROUND($E13*'설정'!$C$5*IF(('설정'!$C$26*IF($A13&gt;=31,1+'설정'!$C$14*'설정'!$E$26,1)/$D13)&lt;1,('설정'!$C$26*IF($A13&gt;=31,1+'설정'!$C$14*'설정'!$E$26,1)/$D13)^(-'설정'!$C$6),('설정'!$C$26*IF($A13&gt;=31,1+'설정'!$C$14*'설정'!$E$26,1)/$D13)^(-'설정'!$C$7)),0))</f>
        <v/>
      </c>
      <c r="M13" s="8">
        <f>IF($E13*'설정'!$C$5*IF(('설정'!$C$27*IF($A13&gt;=31,1+'설정'!$C$14*'설정'!$E$27,1)/$D13)&lt;1,('설정'!$C$27*IF($A13&gt;=31,1+'설정'!$C$14*'설정'!$E$27,1)/$D13)^(-'설정'!$C$6),('설정'!$C$27*IF($A13&gt;=31,1+'설정'!$C$14*'설정'!$E$27,1)/$D13)^(-'설정'!$C$7))&gt;('설정'!$C$4+'설정'!$F$27),"실패",ROUND($E13*'설정'!$C$5*IF(('설정'!$C$27*IF($A13&gt;=31,1+'설정'!$C$14*'설정'!$E$27,1)/$D13)&lt;1,('설정'!$C$27*IF($A13&gt;=31,1+'설정'!$C$14*'설정'!$E$27,1)/$D13)^(-'설정'!$C$6),('설정'!$C$27*IF($A13&gt;=31,1+'설정'!$C$14*'설정'!$E$27,1)/$D13)^(-'설정'!$C$7)),0))</f>
        <v/>
      </c>
      <c r="N13" s="8">
        <f>IF($E13*'설정'!$C$5*IF(('설정'!$C$28*IF($A13&gt;=31,1+'설정'!$C$14*'설정'!$E$28,1)/$D13)&lt;1,('설정'!$C$28*IF($A13&gt;=31,1+'설정'!$C$14*'설정'!$E$28,1)/$D13)^(-'설정'!$C$6),('설정'!$C$28*IF($A13&gt;=31,1+'설정'!$C$14*'설정'!$E$28,1)/$D13)^(-'설정'!$C$7))&gt;('설정'!$C$4+'설정'!$F$28),"실패",ROUND($E13*'설정'!$C$5*IF(('설정'!$C$28*IF($A13&gt;=31,1+'설정'!$C$14*'설정'!$E$28,1)/$D13)&lt;1,('설정'!$C$28*IF($A13&gt;=31,1+'설정'!$C$14*'설정'!$E$28,1)/$D13)^(-'설정'!$C$6),('설정'!$C$28*IF($A13&gt;=31,1+'설정'!$C$14*'설정'!$E$28,1)/$D13)^(-'설정'!$C$7)),0))</f>
        <v/>
      </c>
      <c r="O13" s="8">
        <f>IF($E13*'설정'!$C$5*IF(('설정'!$C$29*IF($A13&gt;=31,1+'설정'!$C$14*'설정'!$E$29,1)/$D13)&lt;1,('설정'!$C$29*IF($A13&gt;=31,1+'설정'!$C$14*'설정'!$E$29,1)/$D13)^(-'설정'!$C$6),('설정'!$C$29*IF($A13&gt;=31,1+'설정'!$C$14*'설정'!$E$29,1)/$D13)^(-'설정'!$C$7))&gt;('설정'!$C$4+'설정'!$F$29),"실패",ROUND($E13*'설정'!$C$5*IF(('설정'!$C$29*IF($A13&gt;=31,1+'설정'!$C$14*'설정'!$E$29,1)/$D13)&lt;1,('설정'!$C$29*IF($A13&gt;=31,1+'설정'!$C$14*'설정'!$E$29,1)/$D13)^(-'설정'!$C$6),('설정'!$C$29*IF($A13&gt;=31,1+'설정'!$C$14*'설정'!$E$29,1)/$D13)^(-'설정'!$C$7)),0))</f>
        <v/>
      </c>
      <c r="P13" s="8">
        <f>IF($E13*'설정'!$C$5*IF(('설정'!$C$30*IF($A13&gt;=31,1+'설정'!$C$14*'설정'!$E$30,1)/$D13)&lt;1,('설정'!$C$30*IF($A13&gt;=31,1+'설정'!$C$14*'설정'!$E$30,1)/$D13)^(-'설정'!$C$6),('설정'!$C$30*IF($A13&gt;=31,1+'설정'!$C$14*'설정'!$E$30,1)/$D13)^(-'설정'!$C$7))&gt;('설정'!$C$4+'설정'!$F$30),"실패",ROUND($E13*'설정'!$C$5*IF(('설정'!$C$30*IF($A13&gt;=31,1+'설정'!$C$14*'설정'!$E$30,1)/$D13)&lt;1,('설정'!$C$30*IF($A13&gt;=31,1+'설정'!$C$14*'설정'!$E$30,1)/$D13)^(-'설정'!$C$6),('설정'!$C$30*IF($A13&gt;=31,1+'설정'!$C$14*'설정'!$E$30,1)/$D13)^(-'설정'!$C$7)),0))</f>
        <v/>
      </c>
      <c r="Q13" s="8">
        <f>IF($E13*'설정'!$C$5*IF(('설정'!$C$31*IF($A13&gt;=31,1+'설정'!$C$14*'설정'!$E$31,1)/$D13)&lt;1,('설정'!$C$31*IF($A13&gt;=31,1+'설정'!$C$14*'설정'!$E$31,1)/$D13)^(-'설정'!$C$6),('설정'!$C$31*IF($A13&gt;=31,1+'설정'!$C$14*'설정'!$E$31,1)/$D13)^(-'설정'!$C$7))&gt;('설정'!$C$4+'설정'!$F$31),"실패",ROUND($E13*'설정'!$C$5*IF(('설정'!$C$31*IF($A13&gt;=31,1+'설정'!$C$14*'설정'!$E$31,1)/$D13)&lt;1,('설정'!$C$31*IF($A13&gt;=31,1+'설정'!$C$14*'설정'!$E$31,1)/$D13)^(-'설정'!$C$6),('설정'!$C$31*IF($A13&gt;=31,1+'설정'!$C$14*'설정'!$E$31,1)/$D13)^(-'설정'!$C$7)),0))</f>
        <v/>
      </c>
      <c r="R13" s="8">
        <f>IF($E13*'설정'!$C$5*IF(('설정'!$C$32*IF($A13&gt;=31,1+'설정'!$C$14*'설정'!$E$32,1)/$D13)&lt;1,('설정'!$C$32*IF($A13&gt;=31,1+'설정'!$C$14*'설정'!$E$32,1)/$D13)^(-'설정'!$C$6),('설정'!$C$32*IF($A13&gt;=31,1+'설정'!$C$14*'설정'!$E$32,1)/$D13)^(-'설정'!$C$7))&gt;('설정'!$C$4+'설정'!$F$32),"실패",ROUND($E13*'설정'!$C$5*IF(('설정'!$C$32*IF($A13&gt;=31,1+'설정'!$C$14*'설정'!$E$32,1)/$D13)&lt;1,('설정'!$C$32*IF($A13&gt;=31,1+'설정'!$C$14*'설정'!$E$32,1)/$D13)^(-'설정'!$C$6),('설정'!$C$32*IF($A13&gt;=31,1+'설정'!$C$14*'설정'!$E$32,1)/$D13)^(-'설정'!$C$7)),0))</f>
        <v/>
      </c>
      <c r="S13" s="8">
        <f>IF($E13*'설정'!$C$5*IF(('설정'!$C$33*IF($A13&gt;=31,1+'설정'!$C$14*'설정'!$E$33,1)/$D13)&lt;1,('설정'!$C$33*IF($A13&gt;=31,1+'설정'!$C$14*'설정'!$E$33,1)/$D13)^(-'설정'!$C$6),('설정'!$C$33*IF($A13&gt;=31,1+'설정'!$C$14*'설정'!$E$33,1)/$D13)^(-'설정'!$C$7))&gt;('설정'!$C$4+'설정'!$F$33),"실패",ROUND($E13*'설정'!$C$5*IF(('설정'!$C$33*IF($A13&gt;=31,1+'설정'!$C$14*'설정'!$E$33,1)/$D13)&lt;1,('설정'!$C$33*IF($A13&gt;=31,1+'설정'!$C$14*'설정'!$E$33,1)/$D13)^(-'설정'!$C$6),('설정'!$C$33*IF($A13&gt;=31,1+'설정'!$C$14*'설정'!$E$33,1)/$D13)^(-'설정'!$C$7)),0))</f>
        <v/>
      </c>
      <c r="T13" s="8">
        <f>IF($E13*'설정'!$C$5*IF(('설정'!$C$34*IF($A13&gt;=31,1+'설정'!$C$14*'설정'!$E$34,1)/$D13)&lt;1,('설정'!$C$34*IF($A13&gt;=31,1+'설정'!$C$14*'설정'!$E$34,1)/$D13)^(-'설정'!$C$6),('설정'!$C$34*IF($A13&gt;=31,1+'설정'!$C$14*'설정'!$E$34,1)/$D13)^(-'설정'!$C$7))&gt;('설정'!$C$4+'설정'!$F$34),"실패",ROUND($E13*'설정'!$C$5*IF(('설정'!$C$34*IF($A13&gt;=31,1+'설정'!$C$14*'설정'!$E$34,1)/$D13)&lt;1,('설정'!$C$34*IF($A13&gt;=31,1+'설정'!$C$14*'설정'!$E$34,1)/$D13)^(-'설정'!$C$6),('설정'!$C$34*IF($A13&gt;=31,1+'설정'!$C$14*'설정'!$E$34,1)/$D13)^(-'설정'!$C$7)),0))</f>
        <v/>
      </c>
      <c r="U13" s="8">
        <f>IF($E13*'설정'!$C$5*IF(('설정'!$C$35*IF($A13&gt;=31,1+'설정'!$C$14*'설정'!$E$35,1)/$D13)&lt;1,('설정'!$C$35*IF($A13&gt;=31,1+'설정'!$C$14*'설정'!$E$35,1)/$D13)^(-'설정'!$C$6),('설정'!$C$35*IF($A13&gt;=31,1+'설정'!$C$14*'설정'!$E$35,1)/$D13)^(-'설정'!$C$7))&gt;('설정'!$C$4+'설정'!$F$35),"실패",ROUND($E13*'설정'!$C$5*IF(('설정'!$C$35*IF($A13&gt;=31,1+'설정'!$C$14*'설정'!$E$35,1)/$D13)&lt;1,('설정'!$C$35*IF($A13&gt;=31,1+'설정'!$C$14*'설정'!$E$35,1)/$D13)^(-'설정'!$C$6),('설정'!$C$35*IF($A13&gt;=31,1+'설정'!$C$14*'설정'!$E$35,1)/$D13)^(-'설정'!$C$7)),0))</f>
        <v/>
      </c>
      <c r="V13" s="8">
        <f>IF($E13*'설정'!$C$5*IF(('설정'!$C$36*IF($A13&gt;=31,1+'설정'!$C$14*'설정'!$E$36,1)/$D13)&lt;1,('설정'!$C$36*IF($A13&gt;=31,1+'설정'!$C$14*'설정'!$E$36,1)/$D13)^(-'설정'!$C$6),('설정'!$C$36*IF($A13&gt;=31,1+'설정'!$C$14*'설정'!$E$36,1)/$D13)^(-'설정'!$C$7))&gt;('설정'!$C$4+'설정'!$F$36),"실패",ROUND($E13*'설정'!$C$5*IF(('설정'!$C$36*IF($A13&gt;=31,1+'설정'!$C$14*'설정'!$E$36,1)/$D13)&lt;1,('설정'!$C$36*IF($A13&gt;=31,1+'설정'!$C$14*'설정'!$E$36,1)/$D13)^(-'설정'!$C$6),('설정'!$C$36*IF($A13&gt;=31,1+'설정'!$C$14*'설정'!$E$36,1)/$D13)^(-'설정'!$C$7)),0))</f>
        <v/>
      </c>
      <c r="W13" s="8">
        <f>IF($E13*'설정'!$C$5*IF(('설정'!$C$37*IF($A13&gt;=31,1+'설정'!$C$14*'설정'!$E$37,1)/$D13)&lt;1,('설정'!$C$37*IF($A13&gt;=31,1+'설정'!$C$14*'설정'!$E$37,1)/$D13)^(-'설정'!$C$6),('설정'!$C$37*IF($A13&gt;=31,1+'설정'!$C$14*'설정'!$E$37,1)/$D13)^(-'설정'!$C$7))&gt;('설정'!$C$4+'설정'!$F$37),"실패",ROUND($E13*'설정'!$C$5*IF(('설정'!$C$37*IF($A13&gt;=31,1+'설정'!$C$14*'설정'!$E$37,1)/$D13)&lt;1,('설정'!$C$37*IF($A13&gt;=31,1+'설정'!$C$14*'설정'!$E$37,1)/$D13)^(-'설정'!$C$6),('설정'!$C$37*IF($A13&gt;=31,1+'설정'!$C$14*'설정'!$E$37,1)/$D13)^(-'설정'!$C$7)),0))</f>
        <v/>
      </c>
    </row>
    <row r="14">
      <c r="A14" t="n">
        <v>12</v>
      </c>
      <c r="B14" t="inlineStr">
        <is>
          <t>보통</t>
        </is>
      </c>
      <c r="C14" t="inlineStr"/>
      <c r="D14" s="6" t="n">
        <v>9820</v>
      </c>
      <c r="E14" t="n">
        <v>72</v>
      </c>
      <c r="F14" s="6" t="n">
        <v>196</v>
      </c>
      <c r="G14" t="n">
        <v>8</v>
      </c>
      <c r="H14" s="8">
        <f>IF($E14*'설정'!$C$5*IF(('설정'!$C$22*IF($A14&gt;=31,1+'설정'!$C$14*'설정'!$E$22,1)/$D14)&lt;1,('설정'!$C$22*IF($A14&gt;=31,1+'설정'!$C$14*'설정'!$E$22,1)/$D14)^(-'설정'!$C$6),('설정'!$C$22*IF($A14&gt;=31,1+'설정'!$C$14*'설정'!$E$22,1)/$D14)^(-'설정'!$C$7))&gt;('설정'!$C$4+'설정'!$F$22),"실패",ROUND($E14*'설정'!$C$5*IF(('설정'!$C$22*IF($A14&gt;=31,1+'설정'!$C$14*'설정'!$E$22,1)/$D14)&lt;1,('설정'!$C$22*IF($A14&gt;=31,1+'설정'!$C$14*'설정'!$E$22,1)/$D14)^(-'설정'!$C$6),('설정'!$C$22*IF($A14&gt;=31,1+'설정'!$C$14*'설정'!$E$22,1)/$D14)^(-'설정'!$C$7)),0))</f>
        <v/>
      </c>
      <c r="I14" s="8">
        <f>IF($E14*'설정'!$C$5*IF(('설정'!$C$23*IF($A14&gt;=31,1+'설정'!$C$14*'설정'!$E$23,1)/$D14)&lt;1,('설정'!$C$23*IF($A14&gt;=31,1+'설정'!$C$14*'설정'!$E$23,1)/$D14)^(-'설정'!$C$6),('설정'!$C$23*IF($A14&gt;=31,1+'설정'!$C$14*'설정'!$E$23,1)/$D14)^(-'설정'!$C$7))&gt;('설정'!$C$4+'설정'!$F$23),"실패",ROUND($E14*'설정'!$C$5*IF(('설정'!$C$23*IF($A14&gt;=31,1+'설정'!$C$14*'설정'!$E$23,1)/$D14)&lt;1,('설정'!$C$23*IF($A14&gt;=31,1+'설정'!$C$14*'설정'!$E$23,1)/$D14)^(-'설정'!$C$6),('설정'!$C$23*IF($A14&gt;=31,1+'설정'!$C$14*'설정'!$E$23,1)/$D14)^(-'설정'!$C$7)),0))</f>
        <v/>
      </c>
      <c r="J14" s="8">
        <f>IF($E14*'설정'!$C$5*IF(('설정'!$C$24*IF($A14&gt;=31,1+'설정'!$C$14*'설정'!$E$24,1)/$D14)&lt;1,('설정'!$C$24*IF($A14&gt;=31,1+'설정'!$C$14*'설정'!$E$24,1)/$D14)^(-'설정'!$C$6),('설정'!$C$24*IF($A14&gt;=31,1+'설정'!$C$14*'설정'!$E$24,1)/$D14)^(-'설정'!$C$7))&gt;('설정'!$C$4+'설정'!$F$24),"실패",ROUND($E14*'설정'!$C$5*IF(('설정'!$C$24*IF($A14&gt;=31,1+'설정'!$C$14*'설정'!$E$24,1)/$D14)&lt;1,('설정'!$C$24*IF($A14&gt;=31,1+'설정'!$C$14*'설정'!$E$24,1)/$D14)^(-'설정'!$C$6),('설정'!$C$24*IF($A14&gt;=31,1+'설정'!$C$14*'설정'!$E$24,1)/$D14)^(-'설정'!$C$7)),0))</f>
        <v/>
      </c>
      <c r="K14" s="8">
        <f>IF($E14*'설정'!$C$5*IF(('설정'!$C$25*IF($A14&gt;=31,1+'설정'!$C$14*'설정'!$E$25,1)/$D14)&lt;1,('설정'!$C$25*IF($A14&gt;=31,1+'설정'!$C$14*'설정'!$E$25,1)/$D14)^(-'설정'!$C$6),('설정'!$C$25*IF($A14&gt;=31,1+'설정'!$C$14*'설정'!$E$25,1)/$D14)^(-'설정'!$C$7))&gt;('설정'!$C$4+'설정'!$F$25),"실패",ROUND($E14*'설정'!$C$5*IF(('설정'!$C$25*IF($A14&gt;=31,1+'설정'!$C$14*'설정'!$E$25,1)/$D14)&lt;1,('설정'!$C$25*IF($A14&gt;=31,1+'설정'!$C$14*'설정'!$E$25,1)/$D14)^(-'설정'!$C$6),('설정'!$C$25*IF($A14&gt;=31,1+'설정'!$C$14*'설정'!$E$25,1)/$D14)^(-'설정'!$C$7)),0))</f>
        <v/>
      </c>
      <c r="L14" s="8">
        <f>IF($E14*'설정'!$C$5*IF(('설정'!$C$26*IF($A14&gt;=31,1+'설정'!$C$14*'설정'!$E$26,1)/$D14)&lt;1,('설정'!$C$26*IF($A14&gt;=31,1+'설정'!$C$14*'설정'!$E$26,1)/$D14)^(-'설정'!$C$6),('설정'!$C$26*IF($A14&gt;=31,1+'설정'!$C$14*'설정'!$E$26,1)/$D14)^(-'설정'!$C$7))&gt;('설정'!$C$4+'설정'!$F$26),"실패",ROUND($E14*'설정'!$C$5*IF(('설정'!$C$26*IF($A14&gt;=31,1+'설정'!$C$14*'설정'!$E$26,1)/$D14)&lt;1,('설정'!$C$26*IF($A14&gt;=31,1+'설정'!$C$14*'설정'!$E$26,1)/$D14)^(-'설정'!$C$6),('설정'!$C$26*IF($A14&gt;=31,1+'설정'!$C$14*'설정'!$E$26,1)/$D14)^(-'설정'!$C$7)),0))</f>
        <v/>
      </c>
      <c r="M14" s="8">
        <f>IF($E14*'설정'!$C$5*IF(('설정'!$C$27*IF($A14&gt;=31,1+'설정'!$C$14*'설정'!$E$27,1)/$D14)&lt;1,('설정'!$C$27*IF($A14&gt;=31,1+'설정'!$C$14*'설정'!$E$27,1)/$D14)^(-'설정'!$C$6),('설정'!$C$27*IF($A14&gt;=31,1+'설정'!$C$14*'설정'!$E$27,1)/$D14)^(-'설정'!$C$7))&gt;('설정'!$C$4+'설정'!$F$27),"실패",ROUND($E14*'설정'!$C$5*IF(('설정'!$C$27*IF($A14&gt;=31,1+'설정'!$C$14*'설정'!$E$27,1)/$D14)&lt;1,('설정'!$C$27*IF($A14&gt;=31,1+'설정'!$C$14*'설정'!$E$27,1)/$D14)^(-'설정'!$C$6),('설정'!$C$27*IF($A14&gt;=31,1+'설정'!$C$14*'설정'!$E$27,1)/$D14)^(-'설정'!$C$7)),0))</f>
        <v/>
      </c>
      <c r="N14" s="8">
        <f>IF($E14*'설정'!$C$5*IF(('설정'!$C$28*IF($A14&gt;=31,1+'설정'!$C$14*'설정'!$E$28,1)/$D14)&lt;1,('설정'!$C$28*IF($A14&gt;=31,1+'설정'!$C$14*'설정'!$E$28,1)/$D14)^(-'설정'!$C$6),('설정'!$C$28*IF($A14&gt;=31,1+'설정'!$C$14*'설정'!$E$28,1)/$D14)^(-'설정'!$C$7))&gt;('설정'!$C$4+'설정'!$F$28),"실패",ROUND($E14*'설정'!$C$5*IF(('설정'!$C$28*IF($A14&gt;=31,1+'설정'!$C$14*'설정'!$E$28,1)/$D14)&lt;1,('설정'!$C$28*IF($A14&gt;=31,1+'설정'!$C$14*'설정'!$E$28,1)/$D14)^(-'설정'!$C$6),('설정'!$C$28*IF($A14&gt;=31,1+'설정'!$C$14*'설정'!$E$28,1)/$D14)^(-'설정'!$C$7)),0))</f>
        <v/>
      </c>
      <c r="O14" s="8">
        <f>IF($E14*'설정'!$C$5*IF(('설정'!$C$29*IF($A14&gt;=31,1+'설정'!$C$14*'설정'!$E$29,1)/$D14)&lt;1,('설정'!$C$29*IF($A14&gt;=31,1+'설정'!$C$14*'설정'!$E$29,1)/$D14)^(-'설정'!$C$6),('설정'!$C$29*IF($A14&gt;=31,1+'설정'!$C$14*'설정'!$E$29,1)/$D14)^(-'설정'!$C$7))&gt;('설정'!$C$4+'설정'!$F$29),"실패",ROUND($E14*'설정'!$C$5*IF(('설정'!$C$29*IF($A14&gt;=31,1+'설정'!$C$14*'설정'!$E$29,1)/$D14)&lt;1,('설정'!$C$29*IF($A14&gt;=31,1+'설정'!$C$14*'설정'!$E$29,1)/$D14)^(-'설정'!$C$6),('설정'!$C$29*IF($A14&gt;=31,1+'설정'!$C$14*'설정'!$E$29,1)/$D14)^(-'설정'!$C$7)),0))</f>
        <v/>
      </c>
      <c r="P14" s="8">
        <f>IF($E14*'설정'!$C$5*IF(('설정'!$C$30*IF($A14&gt;=31,1+'설정'!$C$14*'설정'!$E$30,1)/$D14)&lt;1,('설정'!$C$30*IF($A14&gt;=31,1+'설정'!$C$14*'설정'!$E$30,1)/$D14)^(-'설정'!$C$6),('설정'!$C$30*IF($A14&gt;=31,1+'설정'!$C$14*'설정'!$E$30,1)/$D14)^(-'설정'!$C$7))&gt;('설정'!$C$4+'설정'!$F$30),"실패",ROUND($E14*'설정'!$C$5*IF(('설정'!$C$30*IF($A14&gt;=31,1+'설정'!$C$14*'설정'!$E$30,1)/$D14)&lt;1,('설정'!$C$30*IF($A14&gt;=31,1+'설정'!$C$14*'설정'!$E$30,1)/$D14)^(-'설정'!$C$6),('설정'!$C$30*IF($A14&gt;=31,1+'설정'!$C$14*'설정'!$E$30,1)/$D14)^(-'설정'!$C$7)),0))</f>
        <v/>
      </c>
      <c r="Q14" s="8">
        <f>IF($E14*'설정'!$C$5*IF(('설정'!$C$31*IF($A14&gt;=31,1+'설정'!$C$14*'설정'!$E$31,1)/$D14)&lt;1,('설정'!$C$31*IF($A14&gt;=31,1+'설정'!$C$14*'설정'!$E$31,1)/$D14)^(-'설정'!$C$6),('설정'!$C$31*IF($A14&gt;=31,1+'설정'!$C$14*'설정'!$E$31,1)/$D14)^(-'설정'!$C$7))&gt;('설정'!$C$4+'설정'!$F$31),"실패",ROUND($E14*'설정'!$C$5*IF(('설정'!$C$31*IF($A14&gt;=31,1+'설정'!$C$14*'설정'!$E$31,1)/$D14)&lt;1,('설정'!$C$31*IF($A14&gt;=31,1+'설정'!$C$14*'설정'!$E$31,1)/$D14)^(-'설정'!$C$6),('설정'!$C$31*IF($A14&gt;=31,1+'설정'!$C$14*'설정'!$E$31,1)/$D14)^(-'설정'!$C$7)),0))</f>
        <v/>
      </c>
      <c r="R14" s="8">
        <f>IF($E14*'설정'!$C$5*IF(('설정'!$C$32*IF($A14&gt;=31,1+'설정'!$C$14*'설정'!$E$32,1)/$D14)&lt;1,('설정'!$C$32*IF($A14&gt;=31,1+'설정'!$C$14*'설정'!$E$32,1)/$D14)^(-'설정'!$C$6),('설정'!$C$32*IF($A14&gt;=31,1+'설정'!$C$14*'설정'!$E$32,1)/$D14)^(-'설정'!$C$7))&gt;('설정'!$C$4+'설정'!$F$32),"실패",ROUND($E14*'설정'!$C$5*IF(('설정'!$C$32*IF($A14&gt;=31,1+'설정'!$C$14*'설정'!$E$32,1)/$D14)&lt;1,('설정'!$C$32*IF($A14&gt;=31,1+'설정'!$C$14*'설정'!$E$32,1)/$D14)^(-'설정'!$C$6),('설정'!$C$32*IF($A14&gt;=31,1+'설정'!$C$14*'설정'!$E$32,1)/$D14)^(-'설정'!$C$7)),0))</f>
        <v/>
      </c>
      <c r="S14" s="8">
        <f>IF($E14*'설정'!$C$5*IF(('설정'!$C$33*IF($A14&gt;=31,1+'설정'!$C$14*'설정'!$E$33,1)/$D14)&lt;1,('설정'!$C$33*IF($A14&gt;=31,1+'설정'!$C$14*'설정'!$E$33,1)/$D14)^(-'설정'!$C$6),('설정'!$C$33*IF($A14&gt;=31,1+'설정'!$C$14*'설정'!$E$33,1)/$D14)^(-'설정'!$C$7))&gt;('설정'!$C$4+'설정'!$F$33),"실패",ROUND($E14*'설정'!$C$5*IF(('설정'!$C$33*IF($A14&gt;=31,1+'설정'!$C$14*'설정'!$E$33,1)/$D14)&lt;1,('설정'!$C$33*IF($A14&gt;=31,1+'설정'!$C$14*'설정'!$E$33,1)/$D14)^(-'설정'!$C$6),('설정'!$C$33*IF($A14&gt;=31,1+'설정'!$C$14*'설정'!$E$33,1)/$D14)^(-'설정'!$C$7)),0))</f>
        <v/>
      </c>
      <c r="T14" s="8">
        <f>IF($E14*'설정'!$C$5*IF(('설정'!$C$34*IF($A14&gt;=31,1+'설정'!$C$14*'설정'!$E$34,1)/$D14)&lt;1,('설정'!$C$34*IF($A14&gt;=31,1+'설정'!$C$14*'설정'!$E$34,1)/$D14)^(-'설정'!$C$6),('설정'!$C$34*IF($A14&gt;=31,1+'설정'!$C$14*'설정'!$E$34,1)/$D14)^(-'설정'!$C$7))&gt;('설정'!$C$4+'설정'!$F$34),"실패",ROUND($E14*'설정'!$C$5*IF(('설정'!$C$34*IF($A14&gt;=31,1+'설정'!$C$14*'설정'!$E$34,1)/$D14)&lt;1,('설정'!$C$34*IF($A14&gt;=31,1+'설정'!$C$14*'설정'!$E$34,1)/$D14)^(-'설정'!$C$6),('설정'!$C$34*IF($A14&gt;=31,1+'설정'!$C$14*'설정'!$E$34,1)/$D14)^(-'설정'!$C$7)),0))</f>
        <v/>
      </c>
      <c r="U14" s="8">
        <f>IF($E14*'설정'!$C$5*IF(('설정'!$C$35*IF($A14&gt;=31,1+'설정'!$C$14*'설정'!$E$35,1)/$D14)&lt;1,('설정'!$C$35*IF($A14&gt;=31,1+'설정'!$C$14*'설정'!$E$35,1)/$D14)^(-'설정'!$C$6),('설정'!$C$35*IF($A14&gt;=31,1+'설정'!$C$14*'설정'!$E$35,1)/$D14)^(-'설정'!$C$7))&gt;('설정'!$C$4+'설정'!$F$35),"실패",ROUND($E14*'설정'!$C$5*IF(('설정'!$C$35*IF($A14&gt;=31,1+'설정'!$C$14*'설정'!$E$35,1)/$D14)&lt;1,('설정'!$C$35*IF($A14&gt;=31,1+'설정'!$C$14*'설정'!$E$35,1)/$D14)^(-'설정'!$C$6),('설정'!$C$35*IF($A14&gt;=31,1+'설정'!$C$14*'설정'!$E$35,1)/$D14)^(-'설정'!$C$7)),0))</f>
        <v/>
      </c>
      <c r="V14" s="8">
        <f>IF($E14*'설정'!$C$5*IF(('설정'!$C$36*IF($A14&gt;=31,1+'설정'!$C$14*'설정'!$E$36,1)/$D14)&lt;1,('설정'!$C$36*IF($A14&gt;=31,1+'설정'!$C$14*'설정'!$E$36,1)/$D14)^(-'설정'!$C$6),('설정'!$C$36*IF($A14&gt;=31,1+'설정'!$C$14*'설정'!$E$36,1)/$D14)^(-'설정'!$C$7))&gt;('설정'!$C$4+'설정'!$F$36),"실패",ROUND($E14*'설정'!$C$5*IF(('설정'!$C$36*IF($A14&gt;=31,1+'설정'!$C$14*'설정'!$E$36,1)/$D14)&lt;1,('설정'!$C$36*IF($A14&gt;=31,1+'설정'!$C$14*'설정'!$E$36,1)/$D14)^(-'설정'!$C$6),('설정'!$C$36*IF($A14&gt;=31,1+'설정'!$C$14*'설정'!$E$36,1)/$D14)^(-'설정'!$C$7)),0))</f>
        <v/>
      </c>
      <c r="W14" s="8">
        <f>IF($E14*'설정'!$C$5*IF(('설정'!$C$37*IF($A14&gt;=31,1+'설정'!$C$14*'설정'!$E$37,1)/$D14)&lt;1,('설정'!$C$37*IF($A14&gt;=31,1+'설정'!$C$14*'설정'!$E$37,1)/$D14)^(-'설정'!$C$6),('설정'!$C$37*IF($A14&gt;=31,1+'설정'!$C$14*'설정'!$E$37,1)/$D14)^(-'설정'!$C$7))&gt;('설정'!$C$4+'설정'!$F$37),"실패",ROUND($E14*'설정'!$C$5*IF(('설정'!$C$37*IF($A14&gt;=31,1+'설정'!$C$14*'설정'!$E$37,1)/$D14)&lt;1,('설정'!$C$37*IF($A14&gt;=31,1+'설정'!$C$14*'설정'!$E$37,1)/$D14)^(-'설정'!$C$6),('설정'!$C$37*IF($A14&gt;=31,1+'설정'!$C$14*'설정'!$E$37,1)/$D14)^(-'설정'!$C$7)),0))</f>
        <v/>
      </c>
    </row>
    <row r="15">
      <c r="A15" t="n">
        <v>13</v>
      </c>
      <c r="B15" t="inlineStr">
        <is>
          <t>보통</t>
        </is>
      </c>
      <c r="C15" t="inlineStr"/>
      <c r="D15" s="6" t="n">
        <v>13000</v>
      </c>
      <c r="E15" t="n">
        <v>72</v>
      </c>
      <c r="F15" s="6" t="n">
        <v>259</v>
      </c>
      <c r="G15" t="n">
        <v>9</v>
      </c>
      <c r="H15" s="8">
        <f>IF($E15*'설정'!$C$5*IF(('설정'!$C$22*IF($A15&gt;=31,1+'설정'!$C$14*'설정'!$E$22,1)/$D15)&lt;1,('설정'!$C$22*IF($A15&gt;=31,1+'설정'!$C$14*'설정'!$E$22,1)/$D15)^(-'설정'!$C$6),('설정'!$C$22*IF($A15&gt;=31,1+'설정'!$C$14*'설정'!$E$22,1)/$D15)^(-'설정'!$C$7))&gt;('설정'!$C$4+'설정'!$F$22),"실패",ROUND($E15*'설정'!$C$5*IF(('설정'!$C$22*IF($A15&gt;=31,1+'설정'!$C$14*'설정'!$E$22,1)/$D15)&lt;1,('설정'!$C$22*IF($A15&gt;=31,1+'설정'!$C$14*'설정'!$E$22,1)/$D15)^(-'설정'!$C$6),('설정'!$C$22*IF($A15&gt;=31,1+'설정'!$C$14*'설정'!$E$22,1)/$D15)^(-'설정'!$C$7)),0))</f>
        <v/>
      </c>
      <c r="I15" s="8">
        <f>IF($E15*'설정'!$C$5*IF(('설정'!$C$23*IF($A15&gt;=31,1+'설정'!$C$14*'설정'!$E$23,1)/$D15)&lt;1,('설정'!$C$23*IF($A15&gt;=31,1+'설정'!$C$14*'설정'!$E$23,1)/$D15)^(-'설정'!$C$6),('설정'!$C$23*IF($A15&gt;=31,1+'설정'!$C$14*'설정'!$E$23,1)/$D15)^(-'설정'!$C$7))&gt;('설정'!$C$4+'설정'!$F$23),"실패",ROUND($E15*'설정'!$C$5*IF(('설정'!$C$23*IF($A15&gt;=31,1+'설정'!$C$14*'설정'!$E$23,1)/$D15)&lt;1,('설정'!$C$23*IF($A15&gt;=31,1+'설정'!$C$14*'설정'!$E$23,1)/$D15)^(-'설정'!$C$6),('설정'!$C$23*IF($A15&gt;=31,1+'설정'!$C$14*'설정'!$E$23,1)/$D15)^(-'설정'!$C$7)),0))</f>
        <v/>
      </c>
      <c r="J15" s="8">
        <f>IF($E15*'설정'!$C$5*IF(('설정'!$C$24*IF($A15&gt;=31,1+'설정'!$C$14*'설정'!$E$24,1)/$D15)&lt;1,('설정'!$C$24*IF($A15&gt;=31,1+'설정'!$C$14*'설정'!$E$24,1)/$D15)^(-'설정'!$C$6),('설정'!$C$24*IF($A15&gt;=31,1+'설정'!$C$14*'설정'!$E$24,1)/$D15)^(-'설정'!$C$7))&gt;('설정'!$C$4+'설정'!$F$24),"실패",ROUND($E15*'설정'!$C$5*IF(('설정'!$C$24*IF($A15&gt;=31,1+'설정'!$C$14*'설정'!$E$24,1)/$D15)&lt;1,('설정'!$C$24*IF($A15&gt;=31,1+'설정'!$C$14*'설정'!$E$24,1)/$D15)^(-'설정'!$C$6),('설정'!$C$24*IF($A15&gt;=31,1+'설정'!$C$14*'설정'!$E$24,1)/$D15)^(-'설정'!$C$7)),0))</f>
        <v/>
      </c>
      <c r="K15" s="8">
        <f>IF($E15*'설정'!$C$5*IF(('설정'!$C$25*IF($A15&gt;=31,1+'설정'!$C$14*'설정'!$E$25,1)/$D15)&lt;1,('설정'!$C$25*IF($A15&gt;=31,1+'설정'!$C$14*'설정'!$E$25,1)/$D15)^(-'설정'!$C$6),('설정'!$C$25*IF($A15&gt;=31,1+'설정'!$C$14*'설정'!$E$25,1)/$D15)^(-'설정'!$C$7))&gt;('설정'!$C$4+'설정'!$F$25),"실패",ROUND($E15*'설정'!$C$5*IF(('설정'!$C$25*IF($A15&gt;=31,1+'설정'!$C$14*'설정'!$E$25,1)/$D15)&lt;1,('설정'!$C$25*IF($A15&gt;=31,1+'설정'!$C$14*'설정'!$E$25,1)/$D15)^(-'설정'!$C$6),('설정'!$C$25*IF($A15&gt;=31,1+'설정'!$C$14*'설정'!$E$25,1)/$D15)^(-'설정'!$C$7)),0))</f>
        <v/>
      </c>
      <c r="L15" s="8">
        <f>IF($E15*'설정'!$C$5*IF(('설정'!$C$26*IF($A15&gt;=31,1+'설정'!$C$14*'설정'!$E$26,1)/$D15)&lt;1,('설정'!$C$26*IF($A15&gt;=31,1+'설정'!$C$14*'설정'!$E$26,1)/$D15)^(-'설정'!$C$6),('설정'!$C$26*IF($A15&gt;=31,1+'설정'!$C$14*'설정'!$E$26,1)/$D15)^(-'설정'!$C$7))&gt;('설정'!$C$4+'설정'!$F$26),"실패",ROUND($E15*'설정'!$C$5*IF(('설정'!$C$26*IF($A15&gt;=31,1+'설정'!$C$14*'설정'!$E$26,1)/$D15)&lt;1,('설정'!$C$26*IF($A15&gt;=31,1+'설정'!$C$14*'설정'!$E$26,1)/$D15)^(-'설정'!$C$6),('설정'!$C$26*IF($A15&gt;=31,1+'설정'!$C$14*'설정'!$E$26,1)/$D15)^(-'설정'!$C$7)),0))</f>
        <v/>
      </c>
      <c r="M15" s="8">
        <f>IF($E15*'설정'!$C$5*IF(('설정'!$C$27*IF($A15&gt;=31,1+'설정'!$C$14*'설정'!$E$27,1)/$D15)&lt;1,('설정'!$C$27*IF($A15&gt;=31,1+'설정'!$C$14*'설정'!$E$27,1)/$D15)^(-'설정'!$C$6),('설정'!$C$27*IF($A15&gt;=31,1+'설정'!$C$14*'설정'!$E$27,1)/$D15)^(-'설정'!$C$7))&gt;('설정'!$C$4+'설정'!$F$27),"실패",ROUND($E15*'설정'!$C$5*IF(('설정'!$C$27*IF($A15&gt;=31,1+'설정'!$C$14*'설정'!$E$27,1)/$D15)&lt;1,('설정'!$C$27*IF($A15&gt;=31,1+'설정'!$C$14*'설정'!$E$27,1)/$D15)^(-'설정'!$C$6),('설정'!$C$27*IF($A15&gt;=31,1+'설정'!$C$14*'설정'!$E$27,1)/$D15)^(-'설정'!$C$7)),0))</f>
        <v/>
      </c>
      <c r="N15" s="8">
        <f>IF($E15*'설정'!$C$5*IF(('설정'!$C$28*IF($A15&gt;=31,1+'설정'!$C$14*'설정'!$E$28,1)/$D15)&lt;1,('설정'!$C$28*IF($A15&gt;=31,1+'설정'!$C$14*'설정'!$E$28,1)/$D15)^(-'설정'!$C$6),('설정'!$C$28*IF($A15&gt;=31,1+'설정'!$C$14*'설정'!$E$28,1)/$D15)^(-'설정'!$C$7))&gt;('설정'!$C$4+'설정'!$F$28),"실패",ROUND($E15*'설정'!$C$5*IF(('설정'!$C$28*IF($A15&gt;=31,1+'설정'!$C$14*'설정'!$E$28,1)/$D15)&lt;1,('설정'!$C$28*IF($A15&gt;=31,1+'설정'!$C$14*'설정'!$E$28,1)/$D15)^(-'설정'!$C$6),('설정'!$C$28*IF($A15&gt;=31,1+'설정'!$C$14*'설정'!$E$28,1)/$D15)^(-'설정'!$C$7)),0))</f>
        <v/>
      </c>
      <c r="O15" s="8">
        <f>IF($E15*'설정'!$C$5*IF(('설정'!$C$29*IF($A15&gt;=31,1+'설정'!$C$14*'설정'!$E$29,1)/$D15)&lt;1,('설정'!$C$29*IF($A15&gt;=31,1+'설정'!$C$14*'설정'!$E$29,1)/$D15)^(-'설정'!$C$6),('설정'!$C$29*IF($A15&gt;=31,1+'설정'!$C$14*'설정'!$E$29,1)/$D15)^(-'설정'!$C$7))&gt;('설정'!$C$4+'설정'!$F$29),"실패",ROUND($E15*'설정'!$C$5*IF(('설정'!$C$29*IF($A15&gt;=31,1+'설정'!$C$14*'설정'!$E$29,1)/$D15)&lt;1,('설정'!$C$29*IF($A15&gt;=31,1+'설정'!$C$14*'설정'!$E$29,1)/$D15)^(-'설정'!$C$6),('설정'!$C$29*IF($A15&gt;=31,1+'설정'!$C$14*'설정'!$E$29,1)/$D15)^(-'설정'!$C$7)),0))</f>
        <v/>
      </c>
      <c r="P15" s="8">
        <f>IF($E15*'설정'!$C$5*IF(('설정'!$C$30*IF($A15&gt;=31,1+'설정'!$C$14*'설정'!$E$30,1)/$D15)&lt;1,('설정'!$C$30*IF($A15&gt;=31,1+'설정'!$C$14*'설정'!$E$30,1)/$D15)^(-'설정'!$C$6),('설정'!$C$30*IF($A15&gt;=31,1+'설정'!$C$14*'설정'!$E$30,1)/$D15)^(-'설정'!$C$7))&gt;('설정'!$C$4+'설정'!$F$30),"실패",ROUND($E15*'설정'!$C$5*IF(('설정'!$C$30*IF($A15&gt;=31,1+'설정'!$C$14*'설정'!$E$30,1)/$D15)&lt;1,('설정'!$C$30*IF($A15&gt;=31,1+'설정'!$C$14*'설정'!$E$30,1)/$D15)^(-'설정'!$C$6),('설정'!$C$30*IF($A15&gt;=31,1+'설정'!$C$14*'설정'!$E$30,1)/$D15)^(-'설정'!$C$7)),0))</f>
        <v/>
      </c>
      <c r="Q15" s="8">
        <f>IF($E15*'설정'!$C$5*IF(('설정'!$C$31*IF($A15&gt;=31,1+'설정'!$C$14*'설정'!$E$31,1)/$D15)&lt;1,('설정'!$C$31*IF($A15&gt;=31,1+'설정'!$C$14*'설정'!$E$31,1)/$D15)^(-'설정'!$C$6),('설정'!$C$31*IF($A15&gt;=31,1+'설정'!$C$14*'설정'!$E$31,1)/$D15)^(-'설정'!$C$7))&gt;('설정'!$C$4+'설정'!$F$31),"실패",ROUND($E15*'설정'!$C$5*IF(('설정'!$C$31*IF($A15&gt;=31,1+'설정'!$C$14*'설정'!$E$31,1)/$D15)&lt;1,('설정'!$C$31*IF($A15&gt;=31,1+'설정'!$C$14*'설정'!$E$31,1)/$D15)^(-'설정'!$C$6),('설정'!$C$31*IF($A15&gt;=31,1+'설정'!$C$14*'설정'!$E$31,1)/$D15)^(-'설정'!$C$7)),0))</f>
        <v/>
      </c>
      <c r="R15" s="8">
        <f>IF($E15*'설정'!$C$5*IF(('설정'!$C$32*IF($A15&gt;=31,1+'설정'!$C$14*'설정'!$E$32,1)/$D15)&lt;1,('설정'!$C$32*IF($A15&gt;=31,1+'설정'!$C$14*'설정'!$E$32,1)/$D15)^(-'설정'!$C$6),('설정'!$C$32*IF($A15&gt;=31,1+'설정'!$C$14*'설정'!$E$32,1)/$D15)^(-'설정'!$C$7))&gt;('설정'!$C$4+'설정'!$F$32),"실패",ROUND($E15*'설정'!$C$5*IF(('설정'!$C$32*IF($A15&gt;=31,1+'설정'!$C$14*'설정'!$E$32,1)/$D15)&lt;1,('설정'!$C$32*IF($A15&gt;=31,1+'설정'!$C$14*'설정'!$E$32,1)/$D15)^(-'설정'!$C$6),('설정'!$C$32*IF($A15&gt;=31,1+'설정'!$C$14*'설정'!$E$32,1)/$D15)^(-'설정'!$C$7)),0))</f>
        <v/>
      </c>
      <c r="S15" s="8">
        <f>IF($E15*'설정'!$C$5*IF(('설정'!$C$33*IF($A15&gt;=31,1+'설정'!$C$14*'설정'!$E$33,1)/$D15)&lt;1,('설정'!$C$33*IF($A15&gt;=31,1+'설정'!$C$14*'설정'!$E$33,1)/$D15)^(-'설정'!$C$6),('설정'!$C$33*IF($A15&gt;=31,1+'설정'!$C$14*'설정'!$E$33,1)/$D15)^(-'설정'!$C$7))&gt;('설정'!$C$4+'설정'!$F$33),"실패",ROUND($E15*'설정'!$C$5*IF(('설정'!$C$33*IF($A15&gt;=31,1+'설정'!$C$14*'설정'!$E$33,1)/$D15)&lt;1,('설정'!$C$33*IF($A15&gt;=31,1+'설정'!$C$14*'설정'!$E$33,1)/$D15)^(-'설정'!$C$6),('설정'!$C$33*IF($A15&gt;=31,1+'설정'!$C$14*'설정'!$E$33,1)/$D15)^(-'설정'!$C$7)),0))</f>
        <v/>
      </c>
      <c r="T15" s="8">
        <f>IF($E15*'설정'!$C$5*IF(('설정'!$C$34*IF($A15&gt;=31,1+'설정'!$C$14*'설정'!$E$34,1)/$D15)&lt;1,('설정'!$C$34*IF($A15&gt;=31,1+'설정'!$C$14*'설정'!$E$34,1)/$D15)^(-'설정'!$C$6),('설정'!$C$34*IF($A15&gt;=31,1+'설정'!$C$14*'설정'!$E$34,1)/$D15)^(-'설정'!$C$7))&gt;('설정'!$C$4+'설정'!$F$34),"실패",ROUND($E15*'설정'!$C$5*IF(('설정'!$C$34*IF($A15&gt;=31,1+'설정'!$C$14*'설정'!$E$34,1)/$D15)&lt;1,('설정'!$C$34*IF($A15&gt;=31,1+'설정'!$C$14*'설정'!$E$34,1)/$D15)^(-'설정'!$C$6),('설정'!$C$34*IF($A15&gt;=31,1+'설정'!$C$14*'설정'!$E$34,1)/$D15)^(-'설정'!$C$7)),0))</f>
        <v/>
      </c>
      <c r="U15" s="8">
        <f>IF($E15*'설정'!$C$5*IF(('설정'!$C$35*IF($A15&gt;=31,1+'설정'!$C$14*'설정'!$E$35,1)/$D15)&lt;1,('설정'!$C$35*IF($A15&gt;=31,1+'설정'!$C$14*'설정'!$E$35,1)/$D15)^(-'설정'!$C$6),('설정'!$C$35*IF($A15&gt;=31,1+'설정'!$C$14*'설정'!$E$35,1)/$D15)^(-'설정'!$C$7))&gt;('설정'!$C$4+'설정'!$F$35),"실패",ROUND($E15*'설정'!$C$5*IF(('설정'!$C$35*IF($A15&gt;=31,1+'설정'!$C$14*'설정'!$E$35,1)/$D15)&lt;1,('설정'!$C$35*IF($A15&gt;=31,1+'설정'!$C$14*'설정'!$E$35,1)/$D15)^(-'설정'!$C$6),('설정'!$C$35*IF($A15&gt;=31,1+'설정'!$C$14*'설정'!$E$35,1)/$D15)^(-'설정'!$C$7)),0))</f>
        <v/>
      </c>
      <c r="V15" s="8">
        <f>IF($E15*'설정'!$C$5*IF(('설정'!$C$36*IF($A15&gt;=31,1+'설정'!$C$14*'설정'!$E$36,1)/$D15)&lt;1,('설정'!$C$36*IF($A15&gt;=31,1+'설정'!$C$14*'설정'!$E$36,1)/$D15)^(-'설정'!$C$6),('설정'!$C$36*IF($A15&gt;=31,1+'설정'!$C$14*'설정'!$E$36,1)/$D15)^(-'설정'!$C$7))&gt;('설정'!$C$4+'설정'!$F$36),"실패",ROUND($E15*'설정'!$C$5*IF(('설정'!$C$36*IF($A15&gt;=31,1+'설정'!$C$14*'설정'!$E$36,1)/$D15)&lt;1,('설정'!$C$36*IF($A15&gt;=31,1+'설정'!$C$14*'설정'!$E$36,1)/$D15)^(-'설정'!$C$6),('설정'!$C$36*IF($A15&gt;=31,1+'설정'!$C$14*'설정'!$E$36,1)/$D15)^(-'설정'!$C$7)),0))</f>
        <v/>
      </c>
      <c r="W15" s="8">
        <f>IF($E15*'설정'!$C$5*IF(('설정'!$C$37*IF($A15&gt;=31,1+'설정'!$C$14*'설정'!$E$37,1)/$D15)&lt;1,('설정'!$C$37*IF($A15&gt;=31,1+'설정'!$C$14*'설정'!$E$37,1)/$D15)^(-'설정'!$C$6),('설정'!$C$37*IF($A15&gt;=31,1+'설정'!$C$14*'설정'!$E$37,1)/$D15)^(-'설정'!$C$7))&gt;('설정'!$C$4+'설정'!$F$37),"실패",ROUND($E15*'설정'!$C$5*IF(('설정'!$C$37*IF($A15&gt;=31,1+'설정'!$C$14*'설정'!$E$37,1)/$D15)&lt;1,('설정'!$C$37*IF($A15&gt;=31,1+'설정'!$C$14*'설정'!$E$37,1)/$D15)^(-'설정'!$C$6),('설정'!$C$37*IF($A15&gt;=31,1+'설정'!$C$14*'설정'!$E$37,1)/$D15)^(-'설정'!$C$7)),0))</f>
        <v/>
      </c>
    </row>
    <row r="16">
      <c r="A16" t="n">
        <v>14</v>
      </c>
      <c r="B16" t="inlineStr">
        <is>
          <t>보통</t>
        </is>
      </c>
      <c r="C16" t="inlineStr"/>
      <c r="D16" s="6" t="n">
        <v>17100</v>
      </c>
      <c r="E16" t="n">
        <v>72</v>
      </c>
      <c r="F16" s="6" t="n">
        <v>342</v>
      </c>
      <c r="G16" t="n">
        <v>9</v>
      </c>
      <c r="H16" s="8">
        <f>IF($E16*'설정'!$C$5*IF(('설정'!$C$22*IF($A16&gt;=31,1+'설정'!$C$14*'설정'!$E$22,1)/$D16)&lt;1,('설정'!$C$22*IF($A16&gt;=31,1+'설정'!$C$14*'설정'!$E$22,1)/$D16)^(-'설정'!$C$6),('설정'!$C$22*IF($A16&gt;=31,1+'설정'!$C$14*'설정'!$E$22,1)/$D16)^(-'설정'!$C$7))&gt;('설정'!$C$4+'설정'!$F$22),"실패",ROUND($E16*'설정'!$C$5*IF(('설정'!$C$22*IF($A16&gt;=31,1+'설정'!$C$14*'설정'!$E$22,1)/$D16)&lt;1,('설정'!$C$22*IF($A16&gt;=31,1+'설정'!$C$14*'설정'!$E$22,1)/$D16)^(-'설정'!$C$6),('설정'!$C$22*IF($A16&gt;=31,1+'설정'!$C$14*'설정'!$E$22,1)/$D16)^(-'설정'!$C$7)),0))</f>
        <v/>
      </c>
      <c r="I16" s="8">
        <f>IF($E16*'설정'!$C$5*IF(('설정'!$C$23*IF($A16&gt;=31,1+'설정'!$C$14*'설정'!$E$23,1)/$D16)&lt;1,('설정'!$C$23*IF($A16&gt;=31,1+'설정'!$C$14*'설정'!$E$23,1)/$D16)^(-'설정'!$C$6),('설정'!$C$23*IF($A16&gt;=31,1+'설정'!$C$14*'설정'!$E$23,1)/$D16)^(-'설정'!$C$7))&gt;('설정'!$C$4+'설정'!$F$23),"실패",ROUND($E16*'설정'!$C$5*IF(('설정'!$C$23*IF($A16&gt;=31,1+'설정'!$C$14*'설정'!$E$23,1)/$D16)&lt;1,('설정'!$C$23*IF($A16&gt;=31,1+'설정'!$C$14*'설정'!$E$23,1)/$D16)^(-'설정'!$C$6),('설정'!$C$23*IF($A16&gt;=31,1+'설정'!$C$14*'설정'!$E$23,1)/$D16)^(-'설정'!$C$7)),0))</f>
        <v/>
      </c>
      <c r="J16" s="8">
        <f>IF($E16*'설정'!$C$5*IF(('설정'!$C$24*IF($A16&gt;=31,1+'설정'!$C$14*'설정'!$E$24,1)/$D16)&lt;1,('설정'!$C$24*IF($A16&gt;=31,1+'설정'!$C$14*'설정'!$E$24,1)/$D16)^(-'설정'!$C$6),('설정'!$C$24*IF($A16&gt;=31,1+'설정'!$C$14*'설정'!$E$24,1)/$D16)^(-'설정'!$C$7))&gt;('설정'!$C$4+'설정'!$F$24),"실패",ROUND($E16*'설정'!$C$5*IF(('설정'!$C$24*IF($A16&gt;=31,1+'설정'!$C$14*'설정'!$E$24,1)/$D16)&lt;1,('설정'!$C$24*IF($A16&gt;=31,1+'설정'!$C$14*'설정'!$E$24,1)/$D16)^(-'설정'!$C$6),('설정'!$C$24*IF($A16&gt;=31,1+'설정'!$C$14*'설정'!$E$24,1)/$D16)^(-'설정'!$C$7)),0))</f>
        <v/>
      </c>
      <c r="K16" s="8">
        <f>IF($E16*'설정'!$C$5*IF(('설정'!$C$25*IF($A16&gt;=31,1+'설정'!$C$14*'설정'!$E$25,1)/$D16)&lt;1,('설정'!$C$25*IF($A16&gt;=31,1+'설정'!$C$14*'설정'!$E$25,1)/$D16)^(-'설정'!$C$6),('설정'!$C$25*IF($A16&gt;=31,1+'설정'!$C$14*'설정'!$E$25,1)/$D16)^(-'설정'!$C$7))&gt;('설정'!$C$4+'설정'!$F$25),"실패",ROUND($E16*'설정'!$C$5*IF(('설정'!$C$25*IF($A16&gt;=31,1+'설정'!$C$14*'설정'!$E$25,1)/$D16)&lt;1,('설정'!$C$25*IF($A16&gt;=31,1+'설정'!$C$14*'설정'!$E$25,1)/$D16)^(-'설정'!$C$6),('설정'!$C$25*IF($A16&gt;=31,1+'설정'!$C$14*'설정'!$E$25,1)/$D16)^(-'설정'!$C$7)),0))</f>
        <v/>
      </c>
      <c r="L16" s="8">
        <f>IF($E16*'설정'!$C$5*IF(('설정'!$C$26*IF($A16&gt;=31,1+'설정'!$C$14*'설정'!$E$26,1)/$D16)&lt;1,('설정'!$C$26*IF($A16&gt;=31,1+'설정'!$C$14*'설정'!$E$26,1)/$D16)^(-'설정'!$C$6),('설정'!$C$26*IF($A16&gt;=31,1+'설정'!$C$14*'설정'!$E$26,1)/$D16)^(-'설정'!$C$7))&gt;('설정'!$C$4+'설정'!$F$26),"실패",ROUND($E16*'설정'!$C$5*IF(('설정'!$C$26*IF($A16&gt;=31,1+'설정'!$C$14*'설정'!$E$26,1)/$D16)&lt;1,('설정'!$C$26*IF($A16&gt;=31,1+'설정'!$C$14*'설정'!$E$26,1)/$D16)^(-'설정'!$C$6),('설정'!$C$26*IF($A16&gt;=31,1+'설정'!$C$14*'설정'!$E$26,1)/$D16)^(-'설정'!$C$7)),0))</f>
        <v/>
      </c>
      <c r="M16" s="8">
        <f>IF($E16*'설정'!$C$5*IF(('설정'!$C$27*IF($A16&gt;=31,1+'설정'!$C$14*'설정'!$E$27,1)/$D16)&lt;1,('설정'!$C$27*IF($A16&gt;=31,1+'설정'!$C$14*'설정'!$E$27,1)/$D16)^(-'설정'!$C$6),('설정'!$C$27*IF($A16&gt;=31,1+'설정'!$C$14*'설정'!$E$27,1)/$D16)^(-'설정'!$C$7))&gt;('설정'!$C$4+'설정'!$F$27),"실패",ROUND($E16*'설정'!$C$5*IF(('설정'!$C$27*IF($A16&gt;=31,1+'설정'!$C$14*'설정'!$E$27,1)/$D16)&lt;1,('설정'!$C$27*IF($A16&gt;=31,1+'설정'!$C$14*'설정'!$E$27,1)/$D16)^(-'설정'!$C$6),('설정'!$C$27*IF($A16&gt;=31,1+'설정'!$C$14*'설정'!$E$27,1)/$D16)^(-'설정'!$C$7)),0))</f>
        <v/>
      </c>
      <c r="N16" s="8">
        <f>IF($E16*'설정'!$C$5*IF(('설정'!$C$28*IF($A16&gt;=31,1+'설정'!$C$14*'설정'!$E$28,1)/$D16)&lt;1,('설정'!$C$28*IF($A16&gt;=31,1+'설정'!$C$14*'설정'!$E$28,1)/$D16)^(-'설정'!$C$6),('설정'!$C$28*IF($A16&gt;=31,1+'설정'!$C$14*'설정'!$E$28,1)/$D16)^(-'설정'!$C$7))&gt;('설정'!$C$4+'설정'!$F$28),"실패",ROUND($E16*'설정'!$C$5*IF(('설정'!$C$28*IF($A16&gt;=31,1+'설정'!$C$14*'설정'!$E$28,1)/$D16)&lt;1,('설정'!$C$28*IF($A16&gt;=31,1+'설정'!$C$14*'설정'!$E$28,1)/$D16)^(-'설정'!$C$6),('설정'!$C$28*IF($A16&gt;=31,1+'설정'!$C$14*'설정'!$E$28,1)/$D16)^(-'설정'!$C$7)),0))</f>
        <v/>
      </c>
      <c r="O16" s="8">
        <f>IF($E16*'설정'!$C$5*IF(('설정'!$C$29*IF($A16&gt;=31,1+'설정'!$C$14*'설정'!$E$29,1)/$D16)&lt;1,('설정'!$C$29*IF($A16&gt;=31,1+'설정'!$C$14*'설정'!$E$29,1)/$D16)^(-'설정'!$C$6),('설정'!$C$29*IF($A16&gt;=31,1+'설정'!$C$14*'설정'!$E$29,1)/$D16)^(-'설정'!$C$7))&gt;('설정'!$C$4+'설정'!$F$29),"실패",ROUND($E16*'설정'!$C$5*IF(('설정'!$C$29*IF($A16&gt;=31,1+'설정'!$C$14*'설정'!$E$29,1)/$D16)&lt;1,('설정'!$C$29*IF($A16&gt;=31,1+'설정'!$C$14*'설정'!$E$29,1)/$D16)^(-'설정'!$C$6),('설정'!$C$29*IF($A16&gt;=31,1+'설정'!$C$14*'설정'!$E$29,1)/$D16)^(-'설정'!$C$7)),0))</f>
        <v/>
      </c>
      <c r="P16" s="8">
        <f>IF($E16*'설정'!$C$5*IF(('설정'!$C$30*IF($A16&gt;=31,1+'설정'!$C$14*'설정'!$E$30,1)/$D16)&lt;1,('설정'!$C$30*IF($A16&gt;=31,1+'설정'!$C$14*'설정'!$E$30,1)/$D16)^(-'설정'!$C$6),('설정'!$C$30*IF($A16&gt;=31,1+'설정'!$C$14*'설정'!$E$30,1)/$D16)^(-'설정'!$C$7))&gt;('설정'!$C$4+'설정'!$F$30),"실패",ROUND($E16*'설정'!$C$5*IF(('설정'!$C$30*IF($A16&gt;=31,1+'설정'!$C$14*'설정'!$E$30,1)/$D16)&lt;1,('설정'!$C$30*IF($A16&gt;=31,1+'설정'!$C$14*'설정'!$E$30,1)/$D16)^(-'설정'!$C$6),('설정'!$C$30*IF($A16&gt;=31,1+'설정'!$C$14*'설정'!$E$30,1)/$D16)^(-'설정'!$C$7)),0))</f>
        <v/>
      </c>
      <c r="Q16" s="8">
        <f>IF($E16*'설정'!$C$5*IF(('설정'!$C$31*IF($A16&gt;=31,1+'설정'!$C$14*'설정'!$E$31,1)/$D16)&lt;1,('설정'!$C$31*IF($A16&gt;=31,1+'설정'!$C$14*'설정'!$E$31,1)/$D16)^(-'설정'!$C$6),('설정'!$C$31*IF($A16&gt;=31,1+'설정'!$C$14*'설정'!$E$31,1)/$D16)^(-'설정'!$C$7))&gt;('설정'!$C$4+'설정'!$F$31),"실패",ROUND($E16*'설정'!$C$5*IF(('설정'!$C$31*IF($A16&gt;=31,1+'설정'!$C$14*'설정'!$E$31,1)/$D16)&lt;1,('설정'!$C$31*IF($A16&gt;=31,1+'설정'!$C$14*'설정'!$E$31,1)/$D16)^(-'설정'!$C$6),('설정'!$C$31*IF($A16&gt;=31,1+'설정'!$C$14*'설정'!$E$31,1)/$D16)^(-'설정'!$C$7)),0))</f>
        <v/>
      </c>
      <c r="R16" s="8">
        <f>IF($E16*'설정'!$C$5*IF(('설정'!$C$32*IF($A16&gt;=31,1+'설정'!$C$14*'설정'!$E$32,1)/$D16)&lt;1,('설정'!$C$32*IF($A16&gt;=31,1+'설정'!$C$14*'설정'!$E$32,1)/$D16)^(-'설정'!$C$6),('설정'!$C$32*IF($A16&gt;=31,1+'설정'!$C$14*'설정'!$E$32,1)/$D16)^(-'설정'!$C$7))&gt;('설정'!$C$4+'설정'!$F$32),"실패",ROUND($E16*'설정'!$C$5*IF(('설정'!$C$32*IF($A16&gt;=31,1+'설정'!$C$14*'설정'!$E$32,1)/$D16)&lt;1,('설정'!$C$32*IF($A16&gt;=31,1+'설정'!$C$14*'설정'!$E$32,1)/$D16)^(-'설정'!$C$6),('설정'!$C$32*IF($A16&gt;=31,1+'설정'!$C$14*'설정'!$E$32,1)/$D16)^(-'설정'!$C$7)),0))</f>
        <v/>
      </c>
      <c r="S16" s="8">
        <f>IF($E16*'설정'!$C$5*IF(('설정'!$C$33*IF($A16&gt;=31,1+'설정'!$C$14*'설정'!$E$33,1)/$D16)&lt;1,('설정'!$C$33*IF($A16&gt;=31,1+'설정'!$C$14*'설정'!$E$33,1)/$D16)^(-'설정'!$C$6),('설정'!$C$33*IF($A16&gt;=31,1+'설정'!$C$14*'설정'!$E$33,1)/$D16)^(-'설정'!$C$7))&gt;('설정'!$C$4+'설정'!$F$33),"실패",ROUND($E16*'설정'!$C$5*IF(('설정'!$C$33*IF($A16&gt;=31,1+'설정'!$C$14*'설정'!$E$33,1)/$D16)&lt;1,('설정'!$C$33*IF($A16&gt;=31,1+'설정'!$C$14*'설정'!$E$33,1)/$D16)^(-'설정'!$C$6),('설정'!$C$33*IF($A16&gt;=31,1+'설정'!$C$14*'설정'!$E$33,1)/$D16)^(-'설정'!$C$7)),0))</f>
        <v/>
      </c>
      <c r="T16" s="8">
        <f>IF($E16*'설정'!$C$5*IF(('설정'!$C$34*IF($A16&gt;=31,1+'설정'!$C$14*'설정'!$E$34,1)/$D16)&lt;1,('설정'!$C$34*IF($A16&gt;=31,1+'설정'!$C$14*'설정'!$E$34,1)/$D16)^(-'설정'!$C$6),('설정'!$C$34*IF($A16&gt;=31,1+'설정'!$C$14*'설정'!$E$34,1)/$D16)^(-'설정'!$C$7))&gt;('설정'!$C$4+'설정'!$F$34),"실패",ROUND($E16*'설정'!$C$5*IF(('설정'!$C$34*IF($A16&gt;=31,1+'설정'!$C$14*'설정'!$E$34,1)/$D16)&lt;1,('설정'!$C$34*IF($A16&gt;=31,1+'설정'!$C$14*'설정'!$E$34,1)/$D16)^(-'설정'!$C$6),('설정'!$C$34*IF($A16&gt;=31,1+'설정'!$C$14*'설정'!$E$34,1)/$D16)^(-'설정'!$C$7)),0))</f>
        <v/>
      </c>
      <c r="U16" s="8">
        <f>IF($E16*'설정'!$C$5*IF(('설정'!$C$35*IF($A16&gt;=31,1+'설정'!$C$14*'설정'!$E$35,1)/$D16)&lt;1,('설정'!$C$35*IF($A16&gt;=31,1+'설정'!$C$14*'설정'!$E$35,1)/$D16)^(-'설정'!$C$6),('설정'!$C$35*IF($A16&gt;=31,1+'설정'!$C$14*'설정'!$E$35,1)/$D16)^(-'설정'!$C$7))&gt;('설정'!$C$4+'설정'!$F$35),"실패",ROUND($E16*'설정'!$C$5*IF(('설정'!$C$35*IF($A16&gt;=31,1+'설정'!$C$14*'설정'!$E$35,1)/$D16)&lt;1,('설정'!$C$35*IF($A16&gt;=31,1+'설정'!$C$14*'설정'!$E$35,1)/$D16)^(-'설정'!$C$6),('설정'!$C$35*IF($A16&gt;=31,1+'설정'!$C$14*'설정'!$E$35,1)/$D16)^(-'설정'!$C$7)),0))</f>
        <v/>
      </c>
      <c r="V16" s="8">
        <f>IF($E16*'설정'!$C$5*IF(('설정'!$C$36*IF($A16&gt;=31,1+'설정'!$C$14*'설정'!$E$36,1)/$D16)&lt;1,('설정'!$C$36*IF($A16&gt;=31,1+'설정'!$C$14*'설정'!$E$36,1)/$D16)^(-'설정'!$C$6),('설정'!$C$36*IF($A16&gt;=31,1+'설정'!$C$14*'설정'!$E$36,1)/$D16)^(-'설정'!$C$7))&gt;('설정'!$C$4+'설정'!$F$36),"실패",ROUND($E16*'설정'!$C$5*IF(('설정'!$C$36*IF($A16&gt;=31,1+'설정'!$C$14*'설정'!$E$36,1)/$D16)&lt;1,('설정'!$C$36*IF($A16&gt;=31,1+'설정'!$C$14*'설정'!$E$36,1)/$D16)^(-'설정'!$C$6),('설정'!$C$36*IF($A16&gt;=31,1+'설정'!$C$14*'설정'!$E$36,1)/$D16)^(-'설정'!$C$7)),0))</f>
        <v/>
      </c>
      <c r="W16" s="8">
        <f>IF($E16*'설정'!$C$5*IF(('설정'!$C$37*IF($A16&gt;=31,1+'설정'!$C$14*'설정'!$E$37,1)/$D16)&lt;1,('설정'!$C$37*IF($A16&gt;=31,1+'설정'!$C$14*'설정'!$E$37,1)/$D16)^(-'설정'!$C$6),('설정'!$C$37*IF($A16&gt;=31,1+'설정'!$C$14*'설정'!$E$37,1)/$D16)^(-'설정'!$C$7))&gt;('설정'!$C$4+'설정'!$F$37),"실패",ROUND($E16*'설정'!$C$5*IF(('설정'!$C$37*IF($A16&gt;=31,1+'설정'!$C$14*'설정'!$E$37,1)/$D16)&lt;1,('설정'!$C$37*IF($A16&gt;=31,1+'설정'!$C$14*'설정'!$E$37,1)/$D16)^(-'설정'!$C$6),('설정'!$C$37*IF($A16&gt;=31,1+'설정'!$C$14*'설정'!$E$37,1)/$D16)^(-'설정'!$C$7)),0))</f>
        <v/>
      </c>
    </row>
    <row r="17">
      <c r="A17" s="4" t="n">
        <v>15</v>
      </c>
      <c r="B17" s="4" t="inlineStr">
        <is>
          <t>보통</t>
        </is>
      </c>
      <c r="C17" s="4" t="inlineStr">
        <is>
          <t>보스</t>
        </is>
      </c>
      <c r="D17" s="9" t="n">
        <v>22600</v>
      </c>
      <c r="E17" s="4" t="n">
        <v>72</v>
      </c>
      <c r="F17" s="9" t="n">
        <v>452</v>
      </c>
      <c r="G17" s="4" t="n">
        <v>10</v>
      </c>
      <c r="H17" s="8">
        <f>IF($E17*'설정'!$C$5*IF(('설정'!$C$22*IF($A17&gt;=31,1+'설정'!$C$14*'설정'!$E$22,1)/$D17)&lt;1,('설정'!$C$22*IF($A17&gt;=31,1+'설정'!$C$14*'설정'!$E$22,1)/$D17)^(-'설정'!$C$6),('설정'!$C$22*IF($A17&gt;=31,1+'설정'!$C$14*'설정'!$E$22,1)/$D17)^(-'설정'!$C$7))&gt;('설정'!$C$4+'설정'!$F$22+'설정'!$G$22),"실패",ROUND($E17*'설정'!$C$5*IF(('설정'!$C$22*IF($A17&gt;=31,1+'설정'!$C$14*'설정'!$E$22,1)/$D17)&lt;1,('설정'!$C$22*IF($A17&gt;=31,1+'설정'!$C$14*'설정'!$E$22,1)/$D17)^(-'설정'!$C$6),('설정'!$C$22*IF($A17&gt;=31,1+'설정'!$C$14*'설정'!$E$22,1)/$D17)^(-'설정'!$C$7)),0))</f>
        <v/>
      </c>
      <c r="I17" s="8">
        <f>IF($E17*'설정'!$C$5*IF(('설정'!$C$23*IF($A17&gt;=31,1+'설정'!$C$14*'설정'!$E$23,1)/$D17)&lt;1,('설정'!$C$23*IF($A17&gt;=31,1+'설정'!$C$14*'설정'!$E$23,1)/$D17)^(-'설정'!$C$6),('설정'!$C$23*IF($A17&gt;=31,1+'설정'!$C$14*'설정'!$E$23,1)/$D17)^(-'설정'!$C$7))&gt;('설정'!$C$4+'설정'!$F$23+'설정'!$G$23),"실패",ROUND($E17*'설정'!$C$5*IF(('설정'!$C$23*IF($A17&gt;=31,1+'설정'!$C$14*'설정'!$E$23,1)/$D17)&lt;1,('설정'!$C$23*IF($A17&gt;=31,1+'설정'!$C$14*'설정'!$E$23,1)/$D17)^(-'설정'!$C$6),('설정'!$C$23*IF($A17&gt;=31,1+'설정'!$C$14*'설정'!$E$23,1)/$D17)^(-'설정'!$C$7)),0))</f>
        <v/>
      </c>
      <c r="J17" s="8">
        <f>IF($E17*'설정'!$C$5*IF(('설정'!$C$24*IF($A17&gt;=31,1+'설정'!$C$14*'설정'!$E$24,1)/$D17)&lt;1,('설정'!$C$24*IF($A17&gt;=31,1+'설정'!$C$14*'설정'!$E$24,1)/$D17)^(-'설정'!$C$6),('설정'!$C$24*IF($A17&gt;=31,1+'설정'!$C$14*'설정'!$E$24,1)/$D17)^(-'설정'!$C$7))&gt;('설정'!$C$4+'설정'!$F$24+'설정'!$G$24),"실패",ROUND($E17*'설정'!$C$5*IF(('설정'!$C$24*IF($A17&gt;=31,1+'설정'!$C$14*'설정'!$E$24,1)/$D17)&lt;1,('설정'!$C$24*IF($A17&gt;=31,1+'설정'!$C$14*'설정'!$E$24,1)/$D17)^(-'설정'!$C$6),('설정'!$C$24*IF($A17&gt;=31,1+'설정'!$C$14*'설정'!$E$24,1)/$D17)^(-'설정'!$C$7)),0))</f>
        <v/>
      </c>
      <c r="K17" s="8">
        <f>IF($E17*'설정'!$C$5*IF(('설정'!$C$25*IF($A17&gt;=31,1+'설정'!$C$14*'설정'!$E$25,1)/$D17)&lt;1,('설정'!$C$25*IF($A17&gt;=31,1+'설정'!$C$14*'설정'!$E$25,1)/$D17)^(-'설정'!$C$6),('설정'!$C$25*IF($A17&gt;=31,1+'설정'!$C$14*'설정'!$E$25,1)/$D17)^(-'설정'!$C$7))&gt;('설정'!$C$4+'설정'!$F$25+'설정'!$G$25),"실패",ROUND($E17*'설정'!$C$5*IF(('설정'!$C$25*IF($A17&gt;=31,1+'설정'!$C$14*'설정'!$E$25,1)/$D17)&lt;1,('설정'!$C$25*IF($A17&gt;=31,1+'설정'!$C$14*'설정'!$E$25,1)/$D17)^(-'설정'!$C$6),('설정'!$C$25*IF($A17&gt;=31,1+'설정'!$C$14*'설정'!$E$25,1)/$D17)^(-'설정'!$C$7)),0))</f>
        <v/>
      </c>
      <c r="L17" s="8">
        <f>IF($E17*'설정'!$C$5*IF(('설정'!$C$26*IF($A17&gt;=31,1+'설정'!$C$14*'설정'!$E$26,1)/$D17)&lt;1,('설정'!$C$26*IF($A17&gt;=31,1+'설정'!$C$14*'설정'!$E$26,1)/$D17)^(-'설정'!$C$6),('설정'!$C$26*IF($A17&gt;=31,1+'설정'!$C$14*'설정'!$E$26,1)/$D17)^(-'설정'!$C$7))&gt;('설정'!$C$4+'설정'!$F$26+'설정'!$G$26),"실패",ROUND($E17*'설정'!$C$5*IF(('설정'!$C$26*IF($A17&gt;=31,1+'설정'!$C$14*'설정'!$E$26,1)/$D17)&lt;1,('설정'!$C$26*IF($A17&gt;=31,1+'설정'!$C$14*'설정'!$E$26,1)/$D17)^(-'설정'!$C$6),('설정'!$C$26*IF($A17&gt;=31,1+'설정'!$C$14*'설정'!$E$26,1)/$D17)^(-'설정'!$C$7)),0))</f>
        <v/>
      </c>
      <c r="M17" s="8">
        <f>IF($E17*'설정'!$C$5*IF(('설정'!$C$27*IF($A17&gt;=31,1+'설정'!$C$14*'설정'!$E$27,1)/$D17)&lt;1,('설정'!$C$27*IF($A17&gt;=31,1+'설정'!$C$14*'설정'!$E$27,1)/$D17)^(-'설정'!$C$6),('설정'!$C$27*IF($A17&gt;=31,1+'설정'!$C$14*'설정'!$E$27,1)/$D17)^(-'설정'!$C$7))&gt;('설정'!$C$4+'설정'!$F$27+'설정'!$G$27),"실패",ROUND($E17*'설정'!$C$5*IF(('설정'!$C$27*IF($A17&gt;=31,1+'설정'!$C$14*'설정'!$E$27,1)/$D17)&lt;1,('설정'!$C$27*IF($A17&gt;=31,1+'설정'!$C$14*'설정'!$E$27,1)/$D17)^(-'설정'!$C$6),('설정'!$C$27*IF($A17&gt;=31,1+'설정'!$C$14*'설정'!$E$27,1)/$D17)^(-'설정'!$C$7)),0))</f>
        <v/>
      </c>
      <c r="N17" s="8">
        <f>IF($E17*'설정'!$C$5*IF(('설정'!$C$28*IF($A17&gt;=31,1+'설정'!$C$14*'설정'!$E$28,1)/$D17)&lt;1,('설정'!$C$28*IF($A17&gt;=31,1+'설정'!$C$14*'설정'!$E$28,1)/$D17)^(-'설정'!$C$6),('설정'!$C$28*IF($A17&gt;=31,1+'설정'!$C$14*'설정'!$E$28,1)/$D17)^(-'설정'!$C$7))&gt;('설정'!$C$4+'설정'!$F$28+'설정'!$G$28),"실패",ROUND($E17*'설정'!$C$5*IF(('설정'!$C$28*IF($A17&gt;=31,1+'설정'!$C$14*'설정'!$E$28,1)/$D17)&lt;1,('설정'!$C$28*IF($A17&gt;=31,1+'설정'!$C$14*'설정'!$E$28,1)/$D17)^(-'설정'!$C$6),('설정'!$C$28*IF($A17&gt;=31,1+'설정'!$C$14*'설정'!$E$28,1)/$D17)^(-'설정'!$C$7)),0))</f>
        <v/>
      </c>
      <c r="O17" s="8">
        <f>IF($E17*'설정'!$C$5*IF(('설정'!$C$29*IF($A17&gt;=31,1+'설정'!$C$14*'설정'!$E$29,1)/$D17)&lt;1,('설정'!$C$29*IF($A17&gt;=31,1+'설정'!$C$14*'설정'!$E$29,1)/$D17)^(-'설정'!$C$6),('설정'!$C$29*IF($A17&gt;=31,1+'설정'!$C$14*'설정'!$E$29,1)/$D17)^(-'설정'!$C$7))&gt;('설정'!$C$4+'설정'!$F$29+'설정'!$G$29),"실패",ROUND($E17*'설정'!$C$5*IF(('설정'!$C$29*IF($A17&gt;=31,1+'설정'!$C$14*'설정'!$E$29,1)/$D17)&lt;1,('설정'!$C$29*IF($A17&gt;=31,1+'설정'!$C$14*'설정'!$E$29,1)/$D17)^(-'설정'!$C$6),('설정'!$C$29*IF($A17&gt;=31,1+'설정'!$C$14*'설정'!$E$29,1)/$D17)^(-'설정'!$C$7)),0))</f>
        <v/>
      </c>
      <c r="P17" s="8">
        <f>IF($E17*'설정'!$C$5*IF(('설정'!$C$30*IF($A17&gt;=31,1+'설정'!$C$14*'설정'!$E$30,1)/$D17)&lt;1,('설정'!$C$30*IF($A17&gt;=31,1+'설정'!$C$14*'설정'!$E$30,1)/$D17)^(-'설정'!$C$6),('설정'!$C$30*IF($A17&gt;=31,1+'설정'!$C$14*'설정'!$E$30,1)/$D17)^(-'설정'!$C$7))&gt;('설정'!$C$4+'설정'!$F$30+'설정'!$G$30),"실패",ROUND($E17*'설정'!$C$5*IF(('설정'!$C$30*IF($A17&gt;=31,1+'설정'!$C$14*'설정'!$E$30,1)/$D17)&lt;1,('설정'!$C$30*IF($A17&gt;=31,1+'설정'!$C$14*'설정'!$E$30,1)/$D17)^(-'설정'!$C$6),('설정'!$C$30*IF($A17&gt;=31,1+'설정'!$C$14*'설정'!$E$30,1)/$D17)^(-'설정'!$C$7)),0))</f>
        <v/>
      </c>
      <c r="Q17" s="8">
        <f>IF($E17*'설정'!$C$5*IF(('설정'!$C$31*IF($A17&gt;=31,1+'설정'!$C$14*'설정'!$E$31,1)/$D17)&lt;1,('설정'!$C$31*IF($A17&gt;=31,1+'설정'!$C$14*'설정'!$E$31,1)/$D17)^(-'설정'!$C$6),('설정'!$C$31*IF($A17&gt;=31,1+'설정'!$C$14*'설정'!$E$31,1)/$D17)^(-'설정'!$C$7))&gt;('설정'!$C$4+'설정'!$F$31+'설정'!$G$31),"실패",ROUND($E17*'설정'!$C$5*IF(('설정'!$C$31*IF($A17&gt;=31,1+'설정'!$C$14*'설정'!$E$31,1)/$D17)&lt;1,('설정'!$C$31*IF($A17&gt;=31,1+'설정'!$C$14*'설정'!$E$31,1)/$D17)^(-'설정'!$C$6),('설정'!$C$31*IF($A17&gt;=31,1+'설정'!$C$14*'설정'!$E$31,1)/$D17)^(-'설정'!$C$7)),0))</f>
        <v/>
      </c>
      <c r="R17" s="8">
        <f>IF($E17*'설정'!$C$5*IF(('설정'!$C$32*IF($A17&gt;=31,1+'설정'!$C$14*'설정'!$E$32,1)/$D17)&lt;1,('설정'!$C$32*IF($A17&gt;=31,1+'설정'!$C$14*'설정'!$E$32,1)/$D17)^(-'설정'!$C$6),('설정'!$C$32*IF($A17&gt;=31,1+'설정'!$C$14*'설정'!$E$32,1)/$D17)^(-'설정'!$C$7))&gt;('설정'!$C$4+'설정'!$F$32+'설정'!$G$32),"실패",ROUND($E17*'설정'!$C$5*IF(('설정'!$C$32*IF($A17&gt;=31,1+'설정'!$C$14*'설정'!$E$32,1)/$D17)&lt;1,('설정'!$C$32*IF($A17&gt;=31,1+'설정'!$C$14*'설정'!$E$32,1)/$D17)^(-'설정'!$C$6),('설정'!$C$32*IF($A17&gt;=31,1+'설정'!$C$14*'설정'!$E$32,1)/$D17)^(-'설정'!$C$7)),0))</f>
        <v/>
      </c>
      <c r="S17" s="8">
        <f>IF($E17*'설정'!$C$5*IF(('설정'!$C$33*IF($A17&gt;=31,1+'설정'!$C$14*'설정'!$E$33,1)/$D17)&lt;1,('설정'!$C$33*IF($A17&gt;=31,1+'설정'!$C$14*'설정'!$E$33,1)/$D17)^(-'설정'!$C$6),('설정'!$C$33*IF($A17&gt;=31,1+'설정'!$C$14*'설정'!$E$33,1)/$D17)^(-'설정'!$C$7))&gt;('설정'!$C$4+'설정'!$F$33+'설정'!$G$33),"실패",ROUND($E17*'설정'!$C$5*IF(('설정'!$C$33*IF($A17&gt;=31,1+'설정'!$C$14*'설정'!$E$33,1)/$D17)&lt;1,('설정'!$C$33*IF($A17&gt;=31,1+'설정'!$C$14*'설정'!$E$33,1)/$D17)^(-'설정'!$C$6),('설정'!$C$33*IF($A17&gt;=31,1+'설정'!$C$14*'설정'!$E$33,1)/$D17)^(-'설정'!$C$7)),0))</f>
        <v/>
      </c>
      <c r="T17" s="8">
        <f>IF($E17*'설정'!$C$5*IF(('설정'!$C$34*IF($A17&gt;=31,1+'설정'!$C$14*'설정'!$E$34,1)/$D17)&lt;1,('설정'!$C$34*IF($A17&gt;=31,1+'설정'!$C$14*'설정'!$E$34,1)/$D17)^(-'설정'!$C$6),('설정'!$C$34*IF($A17&gt;=31,1+'설정'!$C$14*'설정'!$E$34,1)/$D17)^(-'설정'!$C$7))&gt;('설정'!$C$4+'설정'!$F$34+'설정'!$G$34),"실패",ROUND($E17*'설정'!$C$5*IF(('설정'!$C$34*IF($A17&gt;=31,1+'설정'!$C$14*'설정'!$E$34,1)/$D17)&lt;1,('설정'!$C$34*IF($A17&gt;=31,1+'설정'!$C$14*'설정'!$E$34,1)/$D17)^(-'설정'!$C$6),('설정'!$C$34*IF($A17&gt;=31,1+'설정'!$C$14*'설정'!$E$34,1)/$D17)^(-'설정'!$C$7)),0))</f>
        <v/>
      </c>
      <c r="U17" s="8">
        <f>IF($E17*'설정'!$C$5*IF(('설정'!$C$35*IF($A17&gt;=31,1+'설정'!$C$14*'설정'!$E$35,1)/$D17)&lt;1,('설정'!$C$35*IF($A17&gt;=31,1+'설정'!$C$14*'설정'!$E$35,1)/$D17)^(-'설정'!$C$6),('설정'!$C$35*IF($A17&gt;=31,1+'설정'!$C$14*'설정'!$E$35,1)/$D17)^(-'설정'!$C$7))&gt;('설정'!$C$4+'설정'!$F$35+'설정'!$G$35),"실패",ROUND($E17*'설정'!$C$5*IF(('설정'!$C$35*IF($A17&gt;=31,1+'설정'!$C$14*'설정'!$E$35,1)/$D17)&lt;1,('설정'!$C$35*IF($A17&gt;=31,1+'설정'!$C$14*'설정'!$E$35,1)/$D17)^(-'설정'!$C$6),('설정'!$C$35*IF($A17&gt;=31,1+'설정'!$C$14*'설정'!$E$35,1)/$D17)^(-'설정'!$C$7)),0))</f>
        <v/>
      </c>
      <c r="V17" s="8">
        <f>IF($E17*'설정'!$C$5*IF(('설정'!$C$36*IF($A17&gt;=31,1+'설정'!$C$14*'설정'!$E$36,1)/$D17)&lt;1,('설정'!$C$36*IF($A17&gt;=31,1+'설정'!$C$14*'설정'!$E$36,1)/$D17)^(-'설정'!$C$6),('설정'!$C$36*IF($A17&gt;=31,1+'설정'!$C$14*'설정'!$E$36,1)/$D17)^(-'설정'!$C$7))&gt;('설정'!$C$4+'설정'!$F$36+'설정'!$G$36),"실패",ROUND($E17*'설정'!$C$5*IF(('설정'!$C$36*IF($A17&gt;=31,1+'설정'!$C$14*'설정'!$E$36,1)/$D17)&lt;1,('설정'!$C$36*IF($A17&gt;=31,1+'설정'!$C$14*'설정'!$E$36,1)/$D17)^(-'설정'!$C$6),('설정'!$C$36*IF($A17&gt;=31,1+'설정'!$C$14*'설정'!$E$36,1)/$D17)^(-'설정'!$C$7)),0))</f>
        <v/>
      </c>
      <c r="W17" s="8">
        <f>IF($E17*'설정'!$C$5*IF(('설정'!$C$37*IF($A17&gt;=31,1+'설정'!$C$14*'설정'!$E$37,1)/$D17)&lt;1,('설정'!$C$37*IF($A17&gt;=31,1+'설정'!$C$14*'설정'!$E$37,1)/$D17)^(-'설정'!$C$6),('설정'!$C$37*IF($A17&gt;=31,1+'설정'!$C$14*'설정'!$E$37,1)/$D17)^(-'설정'!$C$7))&gt;('설정'!$C$4+'설정'!$F$37+'설정'!$G$37),"실패",ROUND($E17*'설정'!$C$5*IF(('설정'!$C$37*IF($A17&gt;=31,1+'설정'!$C$14*'설정'!$E$37,1)/$D17)&lt;1,('설정'!$C$37*IF($A17&gt;=31,1+'설정'!$C$14*'설정'!$E$37,1)/$D17)^(-'설정'!$C$6),('설정'!$C$37*IF($A17&gt;=31,1+'설정'!$C$14*'설정'!$E$37,1)/$D17)^(-'설정'!$C$7)),0))</f>
        <v/>
      </c>
    </row>
    <row r="18">
      <c r="A18" s="4" t="n">
        <v>16</v>
      </c>
      <c r="B18" s="4" t="inlineStr">
        <is>
          <t>허들</t>
        </is>
      </c>
      <c r="C18" s="4" t="inlineStr"/>
      <c r="D18" s="9" t="n">
        <v>39500</v>
      </c>
      <c r="E18" s="4" t="n">
        <v>108</v>
      </c>
      <c r="F18" s="9" t="n">
        <v>790</v>
      </c>
      <c r="G18" s="4" t="n">
        <v>10</v>
      </c>
      <c r="H18" s="8">
        <f>IF($E18*'설정'!$C$5*IF(('설정'!$C$22*IF($A18&gt;=31,1+'설정'!$C$14*'설정'!$E$22,1)/$D18)&lt;1,('설정'!$C$22*IF($A18&gt;=31,1+'설정'!$C$14*'설정'!$E$22,1)/$D18)^(-'설정'!$C$6),('설정'!$C$22*IF($A18&gt;=31,1+'설정'!$C$14*'설정'!$E$22,1)/$D18)^(-'설정'!$C$7))&gt;('설정'!$C$4+'설정'!$F$22),"실패",ROUND($E18*'설정'!$C$5*IF(('설정'!$C$22*IF($A18&gt;=31,1+'설정'!$C$14*'설정'!$E$22,1)/$D18)&lt;1,('설정'!$C$22*IF($A18&gt;=31,1+'설정'!$C$14*'설정'!$E$22,1)/$D18)^(-'설정'!$C$6),('설정'!$C$22*IF($A18&gt;=31,1+'설정'!$C$14*'설정'!$E$22,1)/$D18)^(-'설정'!$C$7)),0))</f>
        <v/>
      </c>
      <c r="I18" s="8">
        <f>IF($E18*'설정'!$C$5*IF(('설정'!$C$23*IF($A18&gt;=31,1+'설정'!$C$14*'설정'!$E$23,1)/$D18)&lt;1,('설정'!$C$23*IF($A18&gt;=31,1+'설정'!$C$14*'설정'!$E$23,1)/$D18)^(-'설정'!$C$6),('설정'!$C$23*IF($A18&gt;=31,1+'설정'!$C$14*'설정'!$E$23,1)/$D18)^(-'설정'!$C$7))&gt;('설정'!$C$4+'설정'!$F$23),"실패",ROUND($E18*'설정'!$C$5*IF(('설정'!$C$23*IF($A18&gt;=31,1+'설정'!$C$14*'설정'!$E$23,1)/$D18)&lt;1,('설정'!$C$23*IF($A18&gt;=31,1+'설정'!$C$14*'설정'!$E$23,1)/$D18)^(-'설정'!$C$6),('설정'!$C$23*IF($A18&gt;=31,1+'설정'!$C$14*'설정'!$E$23,1)/$D18)^(-'설정'!$C$7)),0))</f>
        <v/>
      </c>
      <c r="J18" s="8">
        <f>IF($E18*'설정'!$C$5*IF(('설정'!$C$24*IF($A18&gt;=31,1+'설정'!$C$14*'설정'!$E$24,1)/$D18)&lt;1,('설정'!$C$24*IF($A18&gt;=31,1+'설정'!$C$14*'설정'!$E$24,1)/$D18)^(-'설정'!$C$6),('설정'!$C$24*IF($A18&gt;=31,1+'설정'!$C$14*'설정'!$E$24,1)/$D18)^(-'설정'!$C$7))&gt;('설정'!$C$4+'설정'!$F$24),"실패",ROUND($E18*'설정'!$C$5*IF(('설정'!$C$24*IF($A18&gt;=31,1+'설정'!$C$14*'설정'!$E$24,1)/$D18)&lt;1,('설정'!$C$24*IF($A18&gt;=31,1+'설정'!$C$14*'설정'!$E$24,1)/$D18)^(-'설정'!$C$6),('설정'!$C$24*IF($A18&gt;=31,1+'설정'!$C$14*'설정'!$E$24,1)/$D18)^(-'설정'!$C$7)),0))</f>
        <v/>
      </c>
      <c r="K18" s="8">
        <f>IF($E18*'설정'!$C$5*IF(('설정'!$C$25*IF($A18&gt;=31,1+'설정'!$C$14*'설정'!$E$25,1)/$D18)&lt;1,('설정'!$C$25*IF($A18&gt;=31,1+'설정'!$C$14*'설정'!$E$25,1)/$D18)^(-'설정'!$C$6),('설정'!$C$25*IF($A18&gt;=31,1+'설정'!$C$14*'설정'!$E$25,1)/$D18)^(-'설정'!$C$7))&gt;('설정'!$C$4+'설정'!$F$25),"실패",ROUND($E18*'설정'!$C$5*IF(('설정'!$C$25*IF($A18&gt;=31,1+'설정'!$C$14*'설정'!$E$25,1)/$D18)&lt;1,('설정'!$C$25*IF($A18&gt;=31,1+'설정'!$C$14*'설정'!$E$25,1)/$D18)^(-'설정'!$C$6),('설정'!$C$25*IF($A18&gt;=31,1+'설정'!$C$14*'설정'!$E$25,1)/$D18)^(-'설정'!$C$7)),0))</f>
        <v/>
      </c>
      <c r="L18" s="8">
        <f>IF($E18*'설정'!$C$5*IF(('설정'!$C$26*IF($A18&gt;=31,1+'설정'!$C$14*'설정'!$E$26,1)/$D18)&lt;1,('설정'!$C$26*IF($A18&gt;=31,1+'설정'!$C$14*'설정'!$E$26,1)/$D18)^(-'설정'!$C$6),('설정'!$C$26*IF($A18&gt;=31,1+'설정'!$C$14*'설정'!$E$26,1)/$D18)^(-'설정'!$C$7))&gt;('설정'!$C$4+'설정'!$F$26),"실패",ROUND($E18*'설정'!$C$5*IF(('설정'!$C$26*IF($A18&gt;=31,1+'설정'!$C$14*'설정'!$E$26,1)/$D18)&lt;1,('설정'!$C$26*IF($A18&gt;=31,1+'설정'!$C$14*'설정'!$E$26,1)/$D18)^(-'설정'!$C$6),('설정'!$C$26*IF($A18&gt;=31,1+'설정'!$C$14*'설정'!$E$26,1)/$D18)^(-'설정'!$C$7)),0))</f>
        <v/>
      </c>
      <c r="M18" s="8">
        <f>IF($E18*'설정'!$C$5*IF(('설정'!$C$27*IF($A18&gt;=31,1+'설정'!$C$14*'설정'!$E$27,1)/$D18)&lt;1,('설정'!$C$27*IF($A18&gt;=31,1+'설정'!$C$14*'설정'!$E$27,1)/$D18)^(-'설정'!$C$6),('설정'!$C$27*IF($A18&gt;=31,1+'설정'!$C$14*'설정'!$E$27,1)/$D18)^(-'설정'!$C$7))&gt;('설정'!$C$4+'설정'!$F$27),"실패",ROUND($E18*'설정'!$C$5*IF(('설정'!$C$27*IF($A18&gt;=31,1+'설정'!$C$14*'설정'!$E$27,1)/$D18)&lt;1,('설정'!$C$27*IF($A18&gt;=31,1+'설정'!$C$14*'설정'!$E$27,1)/$D18)^(-'설정'!$C$6),('설정'!$C$27*IF($A18&gt;=31,1+'설정'!$C$14*'설정'!$E$27,1)/$D18)^(-'설정'!$C$7)),0))</f>
        <v/>
      </c>
      <c r="N18" s="8">
        <f>IF($E18*'설정'!$C$5*IF(('설정'!$C$28*IF($A18&gt;=31,1+'설정'!$C$14*'설정'!$E$28,1)/$D18)&lt;1,('설정'!$C$28*IF($A18&gt;=31,1+'설정'!$C$14*'설정'!$E$28,1)/$D18)^(-'설정'!$C$6),('설정'!$C$28*IF($A18&gt;=31,1+'설정'!$C$14*'설정'!$E$28,1)/$D18)^(-'설정'!$C$7))&gt;('설정'!$C$4+'설정'!$F$28),"실패",ROUND($E18*'설정'!$C$5*IF(('설정'!$C$28*IF($A18&gt;=31,1+'설정'!$C$14*'설정'!$E$28,1)/$D18)&lt;1,('설정'!$C$28*IF($A18&gt;=31,1+'설정'!$C$14*'설정'!$E$28,1)/$D18)^(-'설정'!$C$6),('설정'!$C$28*IF($A18&gt;=31,1+'설정'!$C$14*'설정'!$E$28,1)/$D18)^(-'설정'!$C$7)),0))</f>
        <v/>
      </c>
      <c r="O18" s="8">
        <f>IF($E18*'설정'!$C$5*IF(('설정'!$C$29*IF($A18&gt;=31,1+'설정'!$C$14*'설정'!$E$29,1)/$D18)&lt;1,('설정'!$C$29*IF($A18&gt;=31,1+'설정'!$C$14*'설정'!$E$29,1)/$D18)^(-'설정'!$C$6),('설정'!$C$29*IF($A18&gt;=31,1+'설정'!$C$14*'설정'!$E$29,1)/$D18)^(-'설정'!$C$7))&gt;('설정'!$C$4+'설정'!$F$29),"실패",ROUND($E18*'설정'!$C$5*IF(('설정'!$C$29*IF($A18&gt;=31,1+'설정'!$C$14*'설정'!$E$29,1)/$D18)&lt;1,('설정'!$C$29*IF($A18&gt;=31,1+'설정'!$C$14*'설정'!$E$29,1)/$D18)^(-'설정'!$C$6),('설정'!$C$29*IF($A18&gt;=31,1+'설정'!$C$14*'설정'!$E$29,1)/$D18)^(-'설정'!$C$7)),0))</f>
        <v/>
      </c>
      <c r="P18" s="8">
        <f>IF($E18*'설정'!$C$5*IF(('설정'!$C$30*IF($A18&gt;=31,1+'설정'!$C$14*'설정'!$E$30,1)/$D18)&lt;1,('설정'!$C$30*IF($A18&gt;=31,1+'설정'!$C$14*'설정'!$E$30,1)/$D18)^(-'설정'!$C$6),('설정'!$C$30*IF($A18&gt;=31,1+'설정'!$C$14*'설정'!$E$30,1)/$D18)^(-'설정'!$C$7))&gt;('설정'!$C$4+'설정'!$F$30),"실패",ROUND($E18*'설정'!$C$5*IF(('설정'!$C$30*IF($A18&gt;=31,1+'설정'!$C$14*'설정'!$E$30,1)/$D18)&lt;1,('설정'!$C$30*IF($A18&gt;=31,1+'설정'!$C$14*'설정'!$E$30,1)/$D18)^(-'설정'!$C$6),('설정'!$C$30*IF($A18&gt;=31,1+'설정'!$C$14*'설정'!$E$30,1)/$D18)^(-'설정'!$C$7)),0))</f>
        <v/>
      </c>
      <c r="Q18" s="8">
        <f>IF($E18*'설정'!$C$5*IF(('설정'!$C$31*IF($A18&gt;=31,1+'설정'!$C$14*'설정'!$E$31,1)/$D18)&lt;1,('설정'!$C$31*IF($A18&gt;=31,1+'설정'!$C$14*'설정'!$E$31,1)/$D18)^(-'설정'!$C$6),('설정'!$C$31*IF($A18&gt;=31,1+'설정'!$C$14*'설정'!$E$31,1)/$D18)^(-'설정'!$C$7))&gt;('설정'!$C$4+'설정'!$F$31),"실패",ROUND($E18*'설정'!$C$5*IF(('설정'!$C$31*IF($A18&gt;=31,1+'설정'!$C$14*'설정'!$E$31,1)/$D18)&lt;1,('설정'!$C$31*IF($A18&gt;=31,1+'설정'!$C$14*'설정'!$E$31,1)/$D18)^(-'설정'!$C$6),('설정'!$C$31*IF($A18&gt;=31,1+'설정'!$C$14*'설정'!$E$31,1)/$D18)^(-'설정'!$C$7)),0))</f>
        <v/>
      </c>
      <c r="R18" s="8">
        <f>IF($E18*'설정'!$C$5*IF(('설정'!$C$32*IF($A18&gt;=31,1+'설정'!$C$14*'설정'!$E$32,1)/$D18)&lt;1,('설정'!$C$32*IF($A18&gt;=31,1+'설정'!$C$14*'설정'!$E$32,1)/$D18)^(-'설정'!$C$6),('설정'!$C$32*IF($A18&gt;=31,1+'설정'!$C$14*'설정'!$E$32,1)/$D18)^(-'설정'!$C$7))&gt;('설정'!$C$4+'설정'!$F$32),"실패",ROUND($E18*'설정'!$C$5*IF(('설정'!$C$32*IF($A18&gt;=31,1+'설정'!$C$14*'설정'!$E$32,1)/$D18)&lt;1,('설정'!$C$32*IF($A18&gt;=31,1+'설정'!$C$14*'설정'!$E$32,1)/$D18)^(-'설정'!$C$6),('설정'!$C$32*IF($A18&gt;=31,1+'설정'!$C$14*'설정'!$E$32,1)/$D18)^(-'설정'!$C$7)),0))</f>
        <v/>
      </c>
      <c r="S18" s="8">
        <f>IF($E18*'설정'!$C$5*IF(('설정'!$C$33*IF($A18&gt;=31,1+'설정'!$C$14*'설정'!$E$33,1)/$D18)&lt;1,('설정'!$C$33*IF($A18&gt;=31,1+'설정'!$C$14*'설정'!$E$33,1)/$D18)^(-'설정'!$C$6),('설정'!$C$33*IF($A18&gt;=31,1+'설정'!$C$14*'설정'!$E$33,1)/$D18)^(-'설정'!$C$7))&gt;('설정'!$C$4+'설정'!$F$33),"실패",ROUND($E18*'설정'!$C$5*IF(('설정'!$C$33*IF($A18&gt;=31,1+'설정'!$C$14*'설정'!$E$33,1)/$D18)&lt;1,('설정'!$C$33*IF($A18&gt;=31,1+'설정'!$C$14*'설정'!$E$33,1)/$D18)^(-'설정'!$C$6),('설정'!$C$33*IF($A18&gt;=31,1+'설정'!$C$14*'설정'!$E$33,1)/$D18)^(-'설정'!$C$7)),0))</f>
        <v/>
      </c>
      <c r="T18" s="8">
        <f>IF($E18*'설정'!$C$5*IF(('설정'!$C$34*IF($A18&gt;=31,1+'설정'!$C$14*'설정'!$E$34,1)/$D18)&lt;1,('설정'!$C$34*IF($A18&gt;=31,1+'설정'!$C$14*'설정'!$E$34,1)/$D18)^(-'설정'!$C$6),('설정'!$C$34*IF($A18&gt;=31,1+'설정'!$C$14*'설정'!$E$34,1)/$D18)^(-'설정'!$C$7))&gt;('설정'!$C$4+'설정'!$F$34),"실패",ROUND($E18*'설정'!$C$5*IF(('설정'!$C$34*IF($A18&gt;=31,1+'설정'!$C$14*'설정'!$E$34,1)/$D18)&lt;1,('설정'!$C$34*IF($A18&gt;=31,1+'설정'!$C$14*'설정'!$E$34,1)/$D18)^(-'설정'!$C$6),('설정'!$C$34*IF($A18&gt;=31,1+'설정'!$C$14*'설정'!$E$34,1)/$D18)^(-'설정'!$C$7)),0))</f>
        <v/>
      </c>
      <c r="U18" s="8">
        <f>IF($E18*'설정'!$C$5*IF(('설정'!$C$35*IF($A18&gt;=31,1+'설정'!$C$14*'설정'!$E$35,1)/$D18)&lt;1,('설정'!$C$35*IF($A18&gt;=31,1+'설정'!$C$14*'설정'!$E$35,1)/$D18)^(-'설정'!$C$6),('설정'!$C$35*IF($A18&gt;=31,1+'설정'!$C$14*'설정'!$E$35,1)/$D18)^(-'설정'!$C$7))&gt;('설정'!$C$4+'설정'!$F$35),"실패",ROUND($E18*'설정'!$C$5*IF(('설정'!$C$35*IF($A18&gt;=31,1+'설정'!$C$14*'설정'!$E$35,1)/$D18)&lt;1,('설정'!$C$35*IF($A18&gt;=31,1+'설정'!$C$14*'설정'!$E$35,1)/$D18)^(-'설정'!$C$6),('설정'!$C$35*IF($A18&gt;=31,1+'설정'!$C$14*'설정'!$E$35,1)/$D18)^(-'설정'!$C$7)),0))</f>
        <v/>
      </c>
      <c r="V18" s="8">
        <f>IF($E18*'설정'!$C$5*IF(('설정'!$C$36*IF($A18&gt;=31,1+'설정'!$C$14*'설정'!$E$36,1)/$D18)&lt;1,('설정'!$C$36*IF($A18&gt;=31,1+'설정'!$C$14*'설정'!$E$36,1)/$D18)^(-'설정'!$C$6),('설정'!$C$36*IF($A18&gt;=31,1+'설정'!$C$14*'설정'!$E$36,1)/$D18)^(-'설정'!$C$7))&gt;('설정'!$C$4+'설정'!$F$36),"실패",ROUND($E18*'설정'!$C$5*IF(('설정'!$C$36*IF($A18&gt;=31,1+'설정'!$C$14*'설정'!$E$36,1)/$D18)&lt;1,('설정'!$C$36*IF($A18&gt;=31,1+'설정'!$C$14*'설정'!$E$36,1)/$D18)^(-'설정'!$C$6),('설정'!$C$36*IF($A18&gt;=31,1+'설정'!$C$14*'설정'!$E$36,1)/$D18)^(-'설정'!$C$7)),0))</f>
        <v/>
      </c>
      <c r="W18" s="8">
        <f>IF($E18*'설정'!$C$5*IF(('설정'!$C$37*IF($A18&gt;=31,1+'설정'!$C$14*'설정'!$E$37,1)/$D18)&lt;1,('설정'!$C$37*IF($A18&gt;=31,1+'설정'!$C$14*'설정'!$E$37,1)/$D18)^(-'설정'!$C$6),('설정'!$C$37*IF($A18&gt;=31,1+'설정'!$C$14*'설정'!$E$37,1)/$D18)^(-'설정'!$C$7))&gt;('설정'!$C$4+'설정'!$F$37),"실패",ROUND($E18*'설정'!$C$5*IF(('설정'!$C$37*IF($A18&gt;=31,1+'설정'!$C$14*'설정'!$E$37,1)/$D18)&lt;1,('설정'!$C$37*IF($A18&gt;=31,1+'설정'!$C$14*'설정'!$E$37,1)/$D18)^(-'설정'!$C$6),('설정'!$C$37*IF($A18&gt;=31,1+'설정'!$C$14*'설정'!$E$37,1)/$D18)^(-'설정'!$C$7)),0))</f>
        <v/>
      </c>
    </row>
    <row r="19">
      <c r="A19" t="n">
        <v>17</v>
      </c>
      <c r="B19" t="inlineStr">
        <is>
          <t>어려움</t>
        </is>
      </c>
      <c r="C19" t="inlineStr"/>
      <c r="D19" s="6" t="n">
        <v>67200</v>
      </c>
      <c r="E19" t="n">
        <v>90</v>
      </c>
      <c r="F19" s="6" t="n">
        <v>1340</v>
      </c>
      <c r="G19" t="n">
        <v>10</v>
      </c>
      <c r="H19" s="8">
        <f>IF($E19*'설정'!$C$5*IF(('설정'!$C$22*IF($A19&gt;=31,1+'설정'!$C$14*'설정'!$E$22,1)/$D19)&lt;1,('설정'!$C$22*IF($A19&gt;=31,1+'설정'!$C$14*'설정'!$E$22,1)/$D19)^(-'설정'!$C$6),('설정'!$C$22*IF($A19&gt;=31,1+'설정'!$C$14*'설정'!$E$22,1)/$D19)^(-'설정'!$C$7))&gt;('설정'!$C$4+'설정'!$F$22),"실패",ROUND($E19*'설정'!$C$5*IF(('설정'!$C$22*IF($A19&gt;=31,1+'설정'!$C$14*'설정'!$E$22,1)/$D19)&lt;1,('설정'!$C$22*IF($A19&gt;=31,1+'설정'!$C$14*'설정'!$E$22,1)/$D19)^(-'설정'!$C$6),('설정'!$C$22*IF($A19&gt;=31,1+'설정'!$C$14*'설정'!$E$22,1)/$D19)^(-'설정'!$C$7)),0))</f>
        <v/>
      </c>
      <c r="I19" s="8">
        <f>IF($E19*'설정'!$C$5*IF(('설정'!$C$23*IF($A19&gt;=31,1+'설정'!$C$14*'설정'!$E$23,1)/$D19)&lt;1,('설정'!$C$23*IF($A19&gt;=31,1+'설정'!$C$14*'설정'!$E$23,1)/$D19)^(-'설정'!$C$6),('설정'!$C$23*IF($A19&gt;=31,1+'설정'!$C$14*'설정'!$E$23,1)/$D19)^(-'설정'!$C$7))&gt;('설정'!$C$4+'설정'!$F$23),"실패",ROUND($E19*'설정'!$C$5*IF(('설정'!$C$23*IF($A19&gt;=31,1+'설정'!$C$14*'설정'!$E$23,1)/$D19)&lt;1,('설정'!$C$23*IF($A19&gt;=31,1+'설정'!$C$14*'설정'!$E$23,1)/$D19)^(-'설정'!$C$6),('설정'!$C$23*IF($A19&gt;=31,1+'설정'!$C$14*'설정'!$E$23,1)/$D19)^(-'설정'!$C$7)),0))</f>
        <v/>
      </c>
      <c r="J19" s="8">
        <f>IF($E19*'설정'!$C$5*IF(('설정'!$C$24*IF($A19&gt;=31,1+'설정'!$C$14*'설정'!$E$24,1)/$D19)&lt;1,('설정'!$C$24*IF($A19&gt;=31,1+'설정'!$C$14*'설정'!$E$24,1)/$D19)^(-'설정'!$C$6),('설정'!$C$24*IF($A19&gt;=31,1+'설정'!$C$14*'설정'!$E$24,1)/$D19)^(-'설정'!$C$7))&gt;('설정'!$C$4+'설정'!$F$24),"실패",ROUND($E19*'설정'!$C$5*IF(('설정'!$C$24*IF($A19&gt;=31,1+'설정'!$C$14*'설정'!$E$24,1)/$D19)&lt;1,('설정'!$C$24*IF($A19&gt;=31,1+'설정'!$C$14*'설정'!$E$24,1)/$D19)^(-'설정'!$C$6),('설정'!$C$24*IF($A19&gt;=31,1+'설정'!$C$14*'설정'!$E$24,1)/$D19)^(-'설정'!$C$7)),0))</f>
        <v/>
      </c>
      <c r="K19" s="8">
        <f>IF($E19*'설정'!$C$5*IF(('설정'!$C$25*IF($A19&gt;=31,1+'설정'!$C$14*'설정'!$E$25,1)/$D19)&lt;1,('설정'!$C$25*IF($A19&gt;=31,1+'설정'!$C$14*'설정'!$E$25,1)/$D19)^(-'설정'!$C$6),('설정'!$C$25*IF($A19&gt;=31,1+'설정'!$C$14*'설정'!$E$25,1)/$D19)^(-'설정'!$C$7))&gt;('설정'!$C$4+'설정'!$F$25),"실패",ROUND($E19*'설정'!$C$5*IF(('설정'!$C$25*IF($A19&gt;=31,1+'설정'!$C$14*'설정'!$E$25,1)/$D19)&lt;1,('설정'!$C$25*IF($A19&gt;=31,1+'설정'!$C$14*'설정'!$E$25,1)/$D19)^(-'설정'!$C$6),('설정'!$C$25*IF($A19&gt;=31,1+'설정'!$C$14*'설정'!$E$25,1)/$D19)^(-'설정'!$C$7)),0))</f>
        <v/>
      </c>
      <c r="L19" s="8">
        <f>IF($E19*'설정'!$C$5*IF(('설정'!$C$26*IF($A19&gt;=31,1+'설정'!$C$14*'설정'!$E$26,1)/$D19)&lt;1,('설정'!$C$26*IF($A19&gt;=31,1+'설정'!$C$14*'설정'!$E$26,1)/$D19)^(-'설정'!$C$6),('설정'!$C$26*IF($A19&gt;=31,1+'설정'!$C$14*'설정'!$E$26,1)/$D19)^(-'설정'!$C$7))&gt;('설정'!$C$4+'설정'!$F$26),"실패",ROUND($E19*'설정'!$C$5*IF(('설정'!$C$26*IF($A19&gt;=31,1+'설정'!$C$14*'설정'!$E$26,1)/$D19)&lt;1,('설정'!$C$26*IF($A19&gt;=31,1+'설정'!$C$14*'설정'!$E$26,1)/$D19)^(-'설정'!$C$6),('설정'!$C$26*IF($A19&gt;=31,1+'설정'!$C$14*'설정'!$E$26,1)/$D19)^(-'설정'!$C$7)),0))</f>
        <v/>
      </c>
      <c r="M19" s="8">
        <f>IF($E19*'설정'!$C$5*IF(('설정'!$C$27*IF($A19&gt;=31,1+'설정'!$C$14*'설정'!$E$27,1)/$D19)&lt;1,('설정'!$C$27*IF($A19&gt;=31,1+'설정'!$C$14*'설정'!$E$27,1)/$D19)^(-'설정'!$C$6),('설정'!$C$27*IF($A19&gt;=31,1+'설정'!$C$14*'설정'!$E$27,1)/$D19)^(-'설정'!$C$7))&gt;('설정'!$C$4+'설정'!$F$27),"실패",ROUND($E19*'설정'!$C$5*IF(('설정'!$C$27*IF($A19&gt;=31,1+'설정'!$C$14*'설정'!$E$27,1)/$D19)&lt;1,('설정'!$C$27*IF($A19&gt;=31,1+'설정'!$C$14*'설정'!$E$27,1)/$D19)^(-'설정'!$C$6),('설정'!$C$27*IF($A19&gt;=31,1+'설정'!$C$14*'설정'!$E$27,1)/$D19)^(-'설정'!$C$7)),0))</f>
        <v/>
      </c>
      <c r="N19" s="8">
        <f>IF($E19*'설정'!$C$5*IF(('설정'!$C$28*IF($A19&gt;=31,1+'설정'!$C$14*'설정'!$E$28,1)/$D19)&lt;1,('설정'!$C$28*IF($A19&gt;=31,1+'설정'!$C$14*'설정'!$E$28,1)/$D19)^(-'설정'!$C$6),('설정'!$C$28*IF($A19&gt;=31,1+'설정'!$C$14*'설정'!$E$28,1)/$D19)^(-'설정'!$C$7))&gt;('설정'!$C$4+'설정'!$F$28),"실패",ROUND($E19*'설정'!$C$5*IF(('설정'!$C$28*IF($A19&gt;=31,1+'설정'!$C$14*'설정'!$E$28,1)/$D19)&lt;1,('설정'!$C$28*IF($A19&gt;=31,1+'설정'!$C$14*'설정'!$E$28,1)/$D19)^(-'설정'!$C$6),('설정'!$C$28*IF($A19&gt;=31,1+'설정'!$C$14*'설정'!$E$28,1)/$D19)^(-'설정'!$C$7)),0))</f>
        <v/>
      </c>
      <c r="O19" s="8">
        <f>IF($E19*'설정'!$C$5*IF(('설정'!$C$29*IF($A19&gt;=31,1+'설정'!$C$14*'설정'!$E$29,1)/$D19)&lt;1,('설정'!$C$29*IF($A19&gt;=31,1+'설정'!$C$14*'설정'!$E$29,1)/$D19)^(-'설정'!$C$6),('설정'!$C$29*IF($A19&gt;=31,1+'설정'!$C$14*'설정'!$E$29,1)/$D19)^(-'설정'!$C$7))&gt;('설정'!$C$4+'설정'!$F$29),"실패",ROUND($E19*'설정'!$C$5*IF(('설정'!$C$29*IF($A19&gt;=31,1+'설정'!$C$14*'설정'!$E$29,1)/$D19)&lt;1,('설정'!$C$29*IF($A19&gt;=31,1+'설정'!$C$14*'설정'!$E$29,1)/$D19)^(-'설정'!$C$6),('설정'!$C$29*IF($A19&gt;=31,1+'설정'!$C$14*'설정'!$E$29,1)/$D19)^(-'설정'!$C$7)),0))</f>
        <v/>
      </c>
      <c r="P19" s="8">
        <f>IF($E19*'설정'!$C$5*IF(('설정'!$C$30*IF($A19&gt;=31,1+'설정'!$C$14*'설정'!$E$30,1)/$D19)&lt;1,('설정'!$C$30*IF($A19&gt;=31,1+'설정'!$C$14*'설정'!$E$30,1)/$D19)^(-'설정'!$C$6),('설정'!$C$30*IF($A19&gt;=31,1+'설정'!$C$14*'설정'!$E$30,1)/$D19)^(-'설정'!$C$7))&gt;('설정'!$C$4+'설정'!$F$30),"실패",ROUND($E19*'설정'!$C$5*IF(('설정'!$C$30*IF($A19&gt;=31,1+'설정'!$C$14*'설정'!$E$30,1)/$D19)&lt;1,('설정'!$C$30*IF($A19&gt;=31,1+'설정'!$C$14*'설정'!$E$30,1)/$D19)^(-'설정'!$C$6),('설정'!$C$30*IF($A19&gt;=31,1+'설정'!$C$14*'설정'!$E$30,1)/$D19)^(-'설정'!$C$7)),0))</f>
        <v/>
      </c>
      <c r="Q19" s="8">
        <f>IF($E19*'설정'!$C$5*IF(('설정'!$C$31*IF($A19&gt;=31,1+'설정'!$C$14*'설정'!$E$31,1)/$D19)&lt;1,('설정'!$C$31*IF($A19&gt;=31,1+'설정'!$C$14*'설정'!$E$31,1)/$D19)^(-'설정'!$C$6),('설정'!$C$31*IF($A19&gt;=31,1+'설정'!$C$14*'설정'!$E$31,1)/$D19)^(-'설정'!$C$7))&gt;('설정'!$C$4+'설정'!$F$31),"실패",ROUND($E19*'설정'!$C$5*IF(('설정'!$C$31*IF($A19&gt;=31,1+'설정'!$C$14*'설정'!$E$31,1)/$D19)&lt;1,('설정'!$C$31*IF($A19&gt;=31,1+'설정'!$C$14*'설정'!$E$31,1)/$D19)^(-'설정'!$C$6),('설정'!$C$31*IF($A19&gt;=31,1+'설정'!$C$14*'설정'!$E$31,1)/$D19)^(-'설정'!$C$7)),0))</f>
        <v/>
      </c>
      <c r="R19" s="8">
        <f>IF($E19*'설정'!$C$5*IF(('설정'!$C$32*IF($A19&gt;=31,1+'설정'!$C$14*'설정'!$E$32,1)/$D19)&lt;1,('설정'!$C$32*IF($A19&gt;=31,1+'설정'!$C$14*'설정'!$E$32,1)/$D19)^(-'설정'!$C$6),('설정'!$C$32*IF($A19&gt;=31,1+'설정'!$C$14*'설정'!$E$32,1)/$D19)^(-'설정'!$C$7))&gt;('설정'!$C$4+'설정'!$F$32),"실패",ROUND($E19*'설정'!$C$5*IF(('설정'!$C$32*IF($A19&gt;=31,1+'설정'!$C$14*'설정'!$E$32,1)/$D19)&lt;1,('설정'!$C$32*IF($A19&gt;=31,1+'설정'!$C$14*'설정'!$E$32,1)/$D19)^(-'설정'!$C$6),('설정'!$C$32*IF($A19&gt;=31,1+'설정'!$C$14*'설정'!$E$32,1)/$D19)^(-'설정'!$C$7)),0))</f>
        <v/>
      </c>
      <c r="S19" s="8">
        <f>IF($E19*'설정'!$C$5*IF(('설정'!$C$33*IF($A19&gt;=31,1+'설정'!$C$14*'설정'!$E$33,1)/$D19)&lt;1,('설정'!$C$33*IF($A19&gt;=31,1+'설정'!$C$14*'설정'!$E$33,1)/$D19)^(-'설정'!$C$6),('설정'!$C$33*IF($A19&gt;=31,1+'설정'!$C$14*'설정'!$E$33,1)/$D19)^(-'설정'!$C$7))&gt;('설정'!$C$4+'설정'!$F$33),"실패",ROUND($E19*'설정'!$C$5*IF(('설정'!$C$33*IF($A19&gt;=31,1+'설정'!$C$14*'설정'!$E$33,1)/$D19)&lt;1,('설정'!$C$33*IF($A19&gt;=31,1+'설정'!$C$14*'설정'!$E$33,1)/$D19)^(-'설정'!$C$6),('설정'!$C$33*IF($A19&gt;=31,1+'설정'!$C$14*'설정'!$E$33,1)/$D19)^(-'설정'!$C$7)),0))</f>
        <v/>
      </c>
      <c r="T19" s="8">
        <f>IF($E19*'설정'!$C$5*IF(('설정'!$C$34*IF($A19&gt;=31,1+'설정'!$C$14*'설정'!$E$34,1)/$D19)&lt;1,('설정'!$C$34*IF($A19&gt;=31,1+'설정'!$C$14*'설정'!$E$34,1)/$D19)^(-'설정'!$C$6),('설정'!$C$34*IF($A19&gt;=31,1+'설정'!$C$14*'설정'!$E$34,1)/$D19)^(-'설정'!$C$7))&gt;('설정'!$C$4+'설정'!$F$34),"실패",ROUND($E19*'설정'!$C$5*IF(('설정'!$C$34*IF($A19&gt;=31,1+'설정'!$C$14*'설정'!$E$34,1)/$D19)&lt;1,('설정'!$C$34*IF($A19&gt;=31,1+'설정'!$C$14*'설정'!$E$34,1)/$D19)^(-'설정'!$C$6),('설정'!$C$34*IF($A19&gt;=31,1+'설정'!$C$14*'설정'!$E$34,1)/$D19)^(-'설정'!$C$7)),0))</f>
        <v/>
      </c>
      <c r="U19" s="8">
        <f>IF($E19*'설정'!$C$5*IF(('설정'!$C$35*IF($A19&gt;=31,1+'설정'!$C$14*'설정'!$E$35,1)/$D19)&lt;1,('설정'!$C$35*IF($A19&gt;=31,1+'설정'!$C$14*'설정'!$E$35,1)/$D19)^(-'설정'!$C$6),('설정'!$C$35*IF($A19&gt;=31,1+'설정'!$C$14*'설정'!$E$35,1)/$D19)^(-'설정'!$C$7))&gt;('설정'!$C$4+'설정'!$F$35),"실패",ROUND($E19*'설정'!$C$5*IF(('설정'!$C$35*IF($A19&gt;=31,1+'설정'!$C$14*'설정'!$E$35,1)/$D19)&lt;1,('설정'!$C$35*IF($A19&gt;=31,1+'설정'!$C$14*'설정'!$E$35,1)/$D19)^(-'설정'!$C$6),('설정'!$C$35*IF($A19&gt;=31,1+'설정'!$C$14*'설정'!$E$35,1)/$D19)^(-'설정'!$C$7)),0))</f>
        <v/>
      </c>
      <c r="V19" s="8">
        <f>IF($E19*'설정'!$C$5*IF(('설정'!$C$36*IF($A19&gt;=31,1+'설정'!$C$14*'설정'!$E$36,1)/$D19)&lt;1,('설정'!$C$36*IF($A19&gt;=31,1+'설정'!$C$14*'설정'!$E$36,1)/$D19)^(-'설정'!$C$6),('설정'!$C$36*IF($A19&gt;=31,1+'설정'!$C$14*'설정'!$E$36,1)/$D19)^(-'설정'!$C$7))&gt;('설정'!$C$4+'설정'!$F$36),"실패",ROUND($E19*'설정'!$C$5*IF(('설정'!$C$36*IF($A19&gt;=31,1+'설정'!$C$14*'설정'!$E$36,1)/$D19)&lt;1,('설정'!$C$36*IF($A19&gt;=31,1+'설정'!$C$14*'설정'!$E$36,1)/$D19)^(-'설정'!$C$6),('설정'!$C$36*IF($A19&gt;=31,1+'설정'!$C$14*'설정'!$E$36,1)/$D19)^(-'설정'!$C$7)),0))</f>
        <v/>
      </c>
      <c r="W19" s="8">
        <f>IF($E19*'설정'!$C$5*IF(('설정'!$C$37*IF($A19&gt;=31,1+'설정'!$C$14*'설정'!$E$37,1)/$D19)&lt;1,('설정'!$C$37*IF($A19&gt;=31,1+'설정'!$C$14*'설정'!$E$37,1)/$D19)^(-'설정'!$C$6),('설정'!$C$37*IF($A19&gt;=31,1+'설정'!$C$14*'설정'!$E$37,1)/$D19)^(-'설정'!$C$7))&gt;('설정'!$C$4+'설정'!$F$37),"실패",ROUND($E19*'설정'!$C$5*IF(('설정'!$C$37*IF($A19&gt;=31,1+'설정'!$C$14*'설정'!$E$37,1)/$D19)&lt;1,('설정'!$C$37*IF($A19&gt;=31,1+'설정'!$C$14*'설정'!$E$37,1)/$D19)^(-'설정'!$C$6),('설정'!$C$37*IF($A19&gt;=31,1+'설정'!$C$14*'설정'!$E$37,1)/$D19)^(-'설정'!$C$7)),0))</f>
        <v/>
      </c>
    </row>
    <row r="20">
      <c r="A20" t="n">
        <v>18</v>
      </c>
      <c r="B20" t="inlineStr">
        <is>
          <t>허들</t>
        </is>
      </c>
      <c r="C20" t="inlineStr"/>
      <c r="D20" s="6" t="n">
        <v>141000</v>
      </c>
      <c r="E20" t="n">
        <v>108</v>
      </c>
      <c r="F20" s="6" t="n">
        <v>2820</v>
      </c>
      <c r="G20" t="n">
        <v>10</v>
      </c>
      <c r="H20" s="8">
        <f>IF($E20*'설정'!$C$5*IF(('설정'!$C$22*IF($A20&gt;=31,1+'설정'!$C$14*'설정'!$E$22,1)/$D20)&lt;1,('설정'!$C$22*IF($A20&gt;=31,1+'설정'!$C$14*'설정'!$E$22,1)/$D20)^(-'설정'!$C$6),('설정'!$C$22*IF($A20&gt;=31,1+'설정'!$C$14*'설정'!$E$22,1)/$D20)^(-'설정'!$C$7))&gt;('설정'!$C$4+'설정'!$F$22),"실패",ROUND($E20*'설정'!$C$5*IF(('설정'!$C$22*IF($A20&gt;=31,1+'설정'!$C$14*'설정'!$E$22,1)/$D20)&lt;1,('설정'!$C$22*IF($A20&gt;=31,1+'설정'!$C$14*'설정'!$E$22,1)/$D20)^(-'설정'!$C$6),('설정'!$C$22*IF($A20&gt;=31,1+'설정'!$C$14*'설정'!$E$22,1)/$D20)^(-'설정'!$C$7)),0))</f>
        <v/>
      </c>
      <c r="I20" s="8">
        <f>IF($E20*'설정'!$C$5*IF(('설정'!$C$23*IF($A20&gt;=31,1+'설정'!$C$14*'설정'!$E$23,1)/$D20)&lt;1,('설정'!$C$23*IF($A20&gt;=31,1+'설정'!$C$14*'설정'!$E$23,1)/$D20)^(-'설정'!$C$6),('설정'!$C$23*IF($A20&gt;=31,1+'설정'!$C$14*'설정'!$E$23,1)/$D20)^(-'설정'!$C$7))&gt;('설정'!$C$4+'설정'!$F$23),"실패",ROUND($E20*'설정'!$C$5*IF(('설정'!$C$23*IF($A20&gt;=31,1+'설정'!$C$14*'설정'!$E$23,1)/$D20)&lt;1,('설정'!$C$23*IF($A20&gt;=31,1+'설정'!$C$14*'설정'!$E$23,1)/$D20)^(-'설정'!$C$6),('설정'!$C$23*IF($A20&gt;=31,1+'설정'!$C$14*'설정'!$E$23,1)/$D20)^(-'설정'!$C$7)),0))</f>
        <v/>
      </c>
      <c r="J20" s="8">
        <f>IF($E20*'설정'!$C$5*IF(('설정'!$C$24*IF($A20&gt;=31,1+'설정'!$C$14*'설정'!$E$24,1)/$D20)&lt;1,('설정'!$C$24*IF($A20&gt;=31,1+'설정'!$C$14*'설정'!$E$24,1)/$D20)^(-'설정'!$C$6),('설정'!$C$24*IF($A20&gt;=31,1+'설정'!$C$14*'설정'!$E$24,1)/$D20)^(-'설정'!$C$7))&gt;('설정'!$C$4+'설정'!$F$24),"실패",ROUND($E20*'설정'!$C$5*IF(('설정'!$C$24*IF($A20&gt;=31,1+'설정'!$C$14*'설정'!$E$24,1)/$D20)&lt;1,('설정'!$C$24*IF($A20&gt;=31,1+'설정'!$C$14*'설정'!$E$24,1)/$D20)^(-'설정'!$C$6),('설정'!$C$24*IF($A20&gt;=31,1+'설정'!$C$14*'설정'!$E$24,1)/$D20)^(-'설정'!$C$7)),0))</f>
        <v/>
      </c>
      <c r="K20" s="8">
        <f>IF($E20*'설정'!$C$5*IF(('설정'!$C$25*IF($A20&gt;=31,1+'설정'!$C$14*'설정'!$E$25,1)/$D20)&lt;1,('설정'!$C$25*IF($A20&gt;=31,1+'설정'!$C$14*'설정'!$E$25,1)/$D20)^(-'설정'!$C$6),('설정'!$C$25*IF($A20&gt;=31,1+'설정'!$C$14*'설정'!$E$25,1)/$D20)^(-'설정'!$C$7))&gt;('설정'!$C$4+'설정'!$F$25),"실패",ROUND($E20*'설정'!$C$5*IF(('설정'!$C$25*IF($A20&gt;=31,1+'설정'!$C$14*'설정'!$E$25,1)/$D20)&lt;1,('설정'!$C$25*IF($A20&gt;=31,1+'설정'!$C$14*'설정'!$E$25,1)/$D20)^(-'설정'!$C$6),('설정'!$C$25*IF($A20&gt;=31,1+'설정'!$C$14*'설정'!$E$25,1)/$D20)^(-'설정'!$C$7)),0))</f>
        <v/>
      </c>
      <c r="L20" s="8">
        <f>IF($E20*'설정'!$C$5*IF(('설정'!$C$26*IF($A20&gt;=31,1+'설정'!$C$14*'설정'!$E$26,1)/$D20)&lt;1,('설정'!$C$26*IF($A20&gt;=31,1+'설정'!$C$14*'설정'!$E$26,1)/$D20)^(-'설정'!$C$6),('설정'!$C$26*IF($A20&gt;=31,1+'설정'!$C$14*'설정'!$E$26,1)/$D20)^(-'설정'!$C$7))&gt;('설정'!$C$4+'설정'!$F$26),"실패",ROUND($E20*'설정'!$C$5*IF(('설정'!$C$26*IF($A20&gt;=31,1+'설정'!$C$14*'설정'!$E$26,1)/$D20)&lt;1,('설정'!$C$26*IF($A20&gt;=31,1+'설정'!$C$14*'설정'!$E$26,1)/$D20)^(-'설정'!$C$6),('설정'!$C$26*IF($A20&gt;=31,1+'설정'!$C$14*'설정'!$E$26,1)/$D20)^(-'설정'!$C$7)),0))</f>
        <v/>
      </c>
      <c r="M20" s="8">
        <f>IF($E20*'설정'!$C$5*IF(('설정'!$C$27*IF($A20&gt;=31,1+'설정'!$C$14*'설정'!$E$27,1)/$D20)&lt;1,('설정'!$C$27*IF($A20&gt;=31,1+'설정'!$C$14*'설정'!$E$27,1)/$D20)^(-'설정'!$C$6),('설정'!$C$27*IF($A20&gt;=31,1+'설정'!$C$14*'설정'!$E$27,1)/$D20)^(-'설정'!$C$7))&gt;('설정'!$C$4+'설정'!$F$27),"실패",ROUND($E20*'설정'!$C$5*IF(('설정'!$C$27*IF($A20&gt;=31,1+'설정'!$C$14*'설정'!$E$27,1)/$D20)&lt;1,('설정'!$C$27*IF($A20&gt;=31,1+'설정'!$C$14*'설정'!$E$27,1)/$D20)^(-'설정'!$C$6),('설정'!$C$27*IF($A20&gt;=31,1+'설정'!$C$14*'설정'!$E$27,1)/$D20)^(-'설정'!$C$7)),0))</f>
        <v/>
      </c>
      <c r="N20" s="8">
        <f>IF($E20*'설정'!$C$5*IF(('설정'!$C$28*IF($A20&gt;=31,1+'설정'!$C$14*'설정'!$E$28,1)/$D20)&lt;1,('설정'!$C$28*IF($A20&gt;=31,1+'설정'!$C$14*'설정'!$E$28,1)/$D20)^(-'설정'!$C$6),('설정'!$C$28*IF($A20&gt;=31,1+'설정'!$C$14*'설정'!$E$28,1)/$D20)^(-'설정'!$C$7))&gt;('설정'!$C$4+'설정'!$F$28),"실패",ROUND($E20*'설정'!$C$5*IF(('설정'!$C$28*IF($A20&gt;=31,1+'설정'!$C$14*'설정'!$E$28,1)/$D20)&lt;1,('설정'!$C$28*IF($A20&gt;=31,1+'설정'!$C$14*'설정'!$E$28,1)/$D20)^(-'설정'!$C$6),('설정'!$C$28*IF($A20&gt;=31,1+'설정'!$C$14*'설정'!$E$28,1)/$D20)^(-'설정'!$C$7)),0))</f>
        <v/>
      </c>
      <c r="O20" s="8">
        <f>IF($E20*'설정'!$C$5*IF(('설정'!$C$29*IF($A20&gt;=31,1+'설정'!$C$14*'설정'!$E$29,1)/$D20)&lt;1,('설정'!$C$29*IF($A20&gt;=31,1+'설정'!$C$14*'설정'!$E$29,1)/$D20)^(-'설정'!$C$6),('설정'!$C$29*IF($A20&gt;=31,1+'설정'!$C$14*'설정'!$E$29,1)/$D20)^(-'설정'!$C$7))&gt;('설정'!$C$4+'설정'!$F$29),"실패",ROUND($E20*'설정'!$C$5*IF(('설정'!$C$29*IF($A20&gt;=31,1+'설정'!$C$14*'설정'!$E$29,1)/$D20)&lt;1,('설정'!$C$29*IF($A20&gt;=31,1+'설정'!$C$14*'설정'!$E$29,1)/$D20)^(-'설정'!$C$6),('설정'!$C$29*IF($A20&gt;=31,1+'설정'!$C$14*'설정'!$E$29,1)/$D20)^(-'설정'!$C$7)),0))</f>
        <v/>
      </c>
      <c r="P20" s="8">
        <f>IF($E20*'설정'!$C$5*IF(('설정'!$C$30*IF($A20&gt;=31,1+'설정'!$C$14*'설정'!$E$30,1)/$D20)&lt;1,('설정'!$C$30*IF($A20&gt;=31,1+'설정'!$C$14*'설정'!$E$30,1)/$D20)^(-'설정'!$C$6),('설정'!$C$30*IF($A20&gt;=31,1+'설정'!$C$14*'설정'!$E$30,1)/$D20)^(-'설정'!$C$7))&gt;('설정'!$C$4+'설정'!$F$30),"실패",ROUND($E20*'설정'!$C$5*IF(('설정'!$C$30*IF($A20&gt;=31,1+'설정'!$C$14*'설정'!$E$30,1)/$D20)&lt;1,('설정'!$C$30*IF($A20&gt;=31,1+'설정'!$C$14*'설정'!$E$30,1)/$D20)^(-'설정'!$C$6),('설정'!$C$30*IF($A20&gt;=31,1+'설정'!$C$14*'설정'!$E$30,1)/$D20)^(-'설정'!$C$7)),0))</f>
        <v/>
      </c>
      <c r="Q20" s="8">
        <f>IF($E20*'설정'!$C$5*IF(('설정'!$C$31*IF($A20&gt;=31,1+'설정'!$C$14*'설정'!$E$31,1)/$D20)&lt;1,('설정'!$C$31*IF($A20&gt;=31,1+'설정'!$C$14*'설정'!$E$31,1)/$D20)^(-'설정'!$C$6),('설정'!$C$31*IF($A20&gt;=31,1+'설정'!$C$14*'설정'!$E$31,1)/$D20)^(-'설정'!$C$7))&gt;('설정'!$C$4+'설정'!$F$31),"실패",ROUND($E20*'설정'!$C$5*IF(('설정'!$C$31*IF($A20&gt;=31,1+'설정'!$C$14*'설정'!$E$31,1)/$D20)&lt;1,('설정'!$C$31*IF($A20&gt;=31,1+'설정'!$C$14*'설정'!$E$31,1)/$D20)^(-'설정'!$C$6),('설정'!$C$31*IF($A20&gt;=31,1+'설정'!$C$14*'설정'!$E$31,1)/$D20)^(-'설정'!$C$7)),0))</f>
        <v/>
      </c>
      <c r="R20" s="8">
        <f>IF($E20*'설정'!$C$5*IF(('설정'!$C$32*IF($A20&gt;=31,1+'설정'!$C$14*'설정'!$E$32,1)/$D20)&lt;1,('설정'!$C$32*IF($A20&gt;=31,1+'설정'!$C$14*'설정'!$E$32,1)/$D20)^(-'설정'!$C$6),('설정'!$C$32*IF($A20&gt;=31,1+'설정'!$C$14*'설정'!$E$32,1)/$D20)^(-'설정'!$C$7))&gt;('설정'!$C$4+'설정'!$F$32),"실패",ROUND($E20*'설정'!$C$5*IF(('설정'!$C$32*IF($A20&gt;=31,1+'설정'!$C$14*'설정'!$E$32,1)/$D20)&lt;1,('설정'!$C$32*IF($A20&gt;=31,1+'설정'!$C$14*'설정'!$E$32,1)/$D20)^(-'설정'!$C$6),('설정'!$C$32*IF($A20&gt;=31,1+'설정'!$C$14*'설정'!$E$32,1)/$D20)^(-'설정'!$C$7)),0))</f>
        <v/>
      </c>
      <c r="S20" s="8">
        <f>IF($E20*'설정'!$C$5*IF(('설정'!$C$33*IF($A20&gt;=31,1+'설정'!$C$14*'설정'!$E$33,1)/$D20)&lt;1,('설정'!$C$33*IF($A20&gt;=31,1+'설정'!$C$14*'설정'!$E$33,1)/$D20)^(-'설정'!$C$6),('설정'!$C$33*IF($A20&gt;=31,1+'설정'!$C$14*'설정'!$E$33,1)/$D20)^(-'설정'!$C$7))&gt;('설정'!$C$4+'설정'!$F$33),"실패",ROUND($E20*'설정'!$C$5*IF(('설정'!$C$33*IF($A20&gt;=31,1+'설정'!$C$14*'설정'!$E$33,1)/$D20)&lt;1,('설정'!$C$33*IF($A20&gt;=31,1+'설정'!$C$14*'설정'!$E$33,1)/$D20)^(-'설정'!$C$6),('설정'!$C$33*IF($A20&gt;=31,1+'설정'!$C$14*'설정'!$E$33,1)/$D20)^(-'설정'!$C$7)),0))</f>
        <v/>
      </c>
      <c r="T20" s="8">
        <f>IF($E20*'설정'!$C$5*IF(('설정'!$C$34*IF($A20&gt;=31,1+'설정'!$C$14*'설정'!$E$34,1)/$D20)&lt;1,('설정'!$C$34*IF($A20&gt;=31,1+'설정'!$C$14*'설정'!$E$34,1)/$D20)^(-'설정'!$C$6),('설정'!$C$34*IF($A20&gt;=31,1+'설정'!$C$14*'설정'!$E$34,1)/$D20)^(-'설정'!$C$7))&gt;('설정'!$C$4+'설정'!$F$34),"실패",ROUND($E20*'설정'!$C$5*IF(('설정'!$C$34*IF($A20&gt;=31,1+'설정'!$C$14*'설정'!$E$34,1)/$D20)&lt;1,('설정'!$C$34*IF($A20&gt;=31,1+'설정'!$C$14*'설정'!$E$34,1)/$D20)^(-'설정'!$C$6),('설정'!$C$34*IF($A20&gt;=31,1+'설정'!$C$14*'설정'!$E$34,1)/$D20)^(-'설정'!$C$7)),0))</f>
        <v/>
      </c>
      <c r="U20" s="8">
        <f>IF($E20*'설정'!$C$5*IF(('설정'!$C$35*IF($A20&gt;=31,1+'설정'!$C$14*'설정'!$E$35,1)/$D20)&lt;1,('설정'!$C$35*IF($A20&gt;=31,1+'설정'!$C$14*'설정'!$E$35,1)/$D20)^(-'설정'!$C$6),('설정'!$C$35*IF($A20&gt;=31,1+'설정'!$C$14*'설정'!$E$35,1)/$D20)^(-'설정'!$C$7))&gt;('설정'!$C$4+'설정'!$F$35),"실패",ROUND($E20*'설정'!$C$5*IF(('설정'!$C$35*IF($A20&gt;=31,1+'설정'!$C$14*'설정'!$E$35,1)/$D20)&lt;1,('설정'!$C$35*IF($A20&gt;=31,1+'설정'!$C$14*'설정'!$E$35,1)/$D20)^(-'설정'!$C$6),('설정'!$C$35*IF($A20&gt;=31,1+'설정'!$C$14*'설정'!$E$35,1)/$D20)^(-'설정'!$C$7)),0))</f>
        <v/>
      </c>
      <c r="V20" s="8">
        <f>IF($E20*'설정'!$C$5*IF(('설정'!$C$36*IF($A20&gt;=31,1+'설정'!$C$14*'설정'!$E$36,1)/$D20)&lt;1,('설정'!$C$36*IF($A20&gt;=31,1+'설정'!$C$14*'설정'!$E$36,1)/$D20)^(-'설정'!$C$6),('설정'!$C$36*IF($A20&gt;=31,1+'설정'!$C$14*'설정'!$E$36,1)/$D20)^(-'설정'!$C$7))&gt;('설정'!$C$4+'설정'!$F$36),"실패",ROUND($E20*'설정'!$C$5*IF(('설정'!$C$36*IF($A20&gt;=31,1+'설정'!$C$14*'설정'!$E$36,1)/$D20)&lt;1,('설정'!$C$36*IF($A20&gt;=31,1+'설정'!$C$14*'설정'!$E$36,1)/$D20)^(-'설정'!$C$6),('설정'!$C$36*IF($A20&gt;=31,1+'설정'!$C$14*'설정'!$E$36,1)/$D20)^(-'설정'!$C$7)),0))</f>
        <v/>
      </c>
      <c r="W20" s="8">
        <f>IF($E20*'설정'!$C$5*IF(('설정'!$C$37*IF($A20&gt;=31,1+'설정'!$C$14*'설정'!$E$37,1)/$D20)&lt;1,('설정'!$C$37*IF($A20&gt;=31,1+'설정'!$C$14*'설정'!$E$37,1)/$D20)^(-'설정'!$C$6),('설정'!$C$37*IF($A20&gt;=31,1+'설정'!$C$14*'설정'!$E$37,1)/$D20)^(-'설정'!$C$7))&gt;('설정'!$C$4+'설정'!$F$37),"실패",ROUND($E20*'설정'!$C$5*IF(('설정'!$C$37*IF($A20&gt;=31,1+'설정'!$C$14*'설정'!$E$37,1)/$D20)&lt;1,('설정'!$C$37*IF($A20&gt;=31,1+'설정'!$C$14*'설정'!$E$37,1)/$D20)^(-'설정'!$C$6),('설정'!$C$37*IF($A20&gt;=31,1+'설정'!$C$14*'설정'!$E$37,1)/$D20)^(-'설정'!$C$7)),0))</f>
        <v/>
      </c>
    </row>
    <row r="21">
      <c r="A21" s="4" t="n">
        <v>19</v>
      </c>
      <c r="B21" s="4" t="inlineStr">
        <is>
          <t>어려움</t>
        </is>
      </c>
      <c r="C21" s="4" t="inlineStr"/>
      <c r="D21" s="9" t="n">
        <v>310000</v>
      </c>
      <c r="E21" s="4" t="n">
        <v>90</v>
      </c>
      <c r="F21" s="9" t="n">
        <v>6210</v>
      </c>
      <c r="G21" s="4" t="n">
        <v>10</v>
      </c>
      <c r="H21" s="8">
        <f>IF($E21*'설정'!$C$5*IF(('설정'!$C$22*IF($A21&gt;=31,1+'설정'!$C$14*'설정'!$E$22,1)/$D21)&lt;1,('설정'!$C$22*IF($A21&gt;=31,1+'설정'!$C$14*'설정'!$E$22,1)/$D21)^(-'설정'!$C$6),('설정'!$C$22*IF($A21&gt;=31,1+'설정'!$C$14*'설정'!$E$22,1)/$D21)^(-'설정'!$C$7))&gt;('설정'!$C$4+'설정'!$F$22),"실패",ROUND($E21*'설정'!$C$5*IF(('설정'!$C$22*IF($A21&gt;=31,1+'설정'!$C$14*'설정'!$E$22,1)/$D21)&lt;1,('설정'!$C$22*IF($A21&gt;=31,1+'설정'!$C$14*'설정'!$E$22,1)/$D21)^(-'설정'!$C$6),('설정'!$C$22*IF($A21&gt;=31,1+'설정'!$C$14*'설정'!$E$22,1)/$D21)^(-'설정'!$C$7)),0))</f>
        <v/>
      </c>
      <c r="I21" s="8">
        <f>IF($E21*'설정'!$C$5*IF(('설정'!$C$23*IF($A21&gt;=31,1+'설정'!$C$14*'설정'!$E$23,1)/$D21)&lt;1,('설정'!$C$23*IF($A21&gt;=31,1+'설정'!$C$14*'설정'!$E$23,1)/$D21)^(-'설정'!$C$6),('설정'!$C$23*IF($A21&gt;=31,1+'설정'!$C$14*'설정'!$E$23,1)/$D21)^(-'설정'!$C$7))&gt;('설정'!$C$4+'설정'!$F$23),"실패",ROUND($E21*'설정'!$C$5*IF(('설정'!$C$23*IF($A21&gt;=31,1+'설정'!$C$14*'설정'!$E$23,1)/$D21)&lt;1,('설정'!$C$23*IF($A21&gt;=31,1+'설정'!$C$14*'설정'!$E$23,1)/$D21)^(-'설정'!$C$6),('설정'!$C$23*IF($A21&gt;=31,1+'설정'!$C$14*'설정'!$E$23,1)/$D21)^(-'설정'!$C$7)),0))</f>
        <v/>
      </c>
      <c r="J21" s="8">
        <f>IF($E21*'설정'!$C$5*IF(('설정'!$C$24*IF($A21&gt;=31,1+'설정'!$C$14*'설정'!$E$24,1)/$D21)&lt;1,('설정'!$C$24*IF($A21&gt;=31,1+'설정'!$C$14*'설정'!$E$24,1)/$D21)^(-'설정'!$C$6),('설정'!$C$24*IF($A21&gt;=31,1+'설정'!$C$14*'설정'!$E$24,1)/$D21)^(-'설정'!$C$7))&gt;('설정'!$C$4+'설정'!$F$24),"실패",ROUND($E21*'설정'!$C$5*IF(('설정'!$C$24*IF($A21&gt;=31,1+'설정'!$C$14*'설정'!$E$24,1)/$D21)&lt;1,('설정'!$C$24*IF($A21&gt;=31,1+'설정'!$C$14*'설정'!$E$24,1)/$D21)^(-'설정'!$C$6),('설정'!$C$24*IF($A21&gt;=31,1+'설정'!$C$14*'설정'!$E$24,1)/$D21)^(-'설정'!$C$7)),0))</f>
        <v/>
      </c>
      <c r="K21" s="8">
        <f>IF($E21*'설정'!$C$5*IF(('설정'!$C$25*IF($A21&gt;=31,1+'설정'!$C$14*'설정'!$E$25,1)/$D21)&lt;1,('설정'!$C$25*IF($A21&gt;=31,1+'설정'!$C$14*'설정'!$E$25,1)/$D21)^(-'설정'!$C$6),('설정'!$C$25*IF($A21&gt;=31,1+'설정'!$C$14*'설정'!$E$25,1)/$D21)^(-'설정'!$C$7))&gt;('설정'!$C$4+'설정'!$F$25),"실패",ROUND($E21*'설정'!$C$5*IF(('설정'!$C$25*IF($A21&gt;=31,1+'설정'!$C$14*'설정'!$E$25,1)/$D21)&lt;1,('설정'!$C$25*IF($A21&gt;=31,1+'설정'!$C$14*'설정'!$E$25,1)/$D21)^(-'설정'!$C$6),('설정'!$C$25*IF($A21&gt;=31,1+'설정'!$C$14*'설정'!$E$25,1)/$D21)^(-'설정'!$C$7)),0))</f>
        <v/>
      </c>
      <c r="L21" s="8">
        <f>IF($E21*'설정'!$C$5*IF(('설정'!$C$26*IF($A21&gt;=31,1+'설정'!$C$14*'설정'!$E$26,1)/$D21)&lt;1,('설정'!$C$26*IF($A21&gt;=31,1+'설정'!$C$14*'설정'!$E$26,1)/$D21)^(-'설정'!$C$6),('설정'!$C$26*IF($A21&gt;=31,1+'설정'!$C$14*'설정'!$E$26,1)/$D21)^(-'설정'!$C$7))&gt;('설정'!$C$4+'설정'!$F$26),"실패",ROUND($E21*'설정'!$C$5*IF(('설정'!$C$26*IF($A21&gt;=31,1+'설정'!$C$14*'설정'!$E$26,1)/$D21)&lt;1,('설정'!$C$26*IF($A21&gt;=31,1+'설정'!$C$14*'설정'!$E$26,1)/$D21)^(-'설정'!$C$6),('설정'!$C$26*IF($A21&gt;=31,1+'설정'!$C$14*'설정'!$E$26,1)/$D21)^(-'설정'!$C$7)),0))</f>
        <v/>
      </c>
      <c r="M21" s="8">
        <f>IF($E21*'설정'!$C$5*IF(('설정'!$C$27*IF($A21&gt;=31,1+'설정'!$C$14*'설정'!$E$27,1)/$D21)&lt;1,('설정'!$C$27*IF($A21&gt;=31,1+'설정'!$C$14*'설정'!$E$27,1)/$D21)^(-'설정'!$C$6),('설정'!$C$27*IF($A21&gt;=31,1+'설정'!$C$14*'설정'!$E$27,1)/$D21)^(-'설정'!$C$7))&gt;('설정'!$C$4+'설정'!$F$27),"실패",ROUND($E21*'설정'!$C$5*IF(('설정'!$C$27*IF($A21&gt;=31,1+'설정'!$C$14*'설정'!$E$27,1)/$D21)&lt;1,('설정'!$C$27*IF($A21&gt;=31,1+'설정'!$C$14*'설정'!$E$27,1)/$D21)^(-'설정'!$C$6),('설정'!$C$27*IF($A21&gt;=31,1+'설정'!$C$14*'설정'!$E$27,1)/$D21)^(-'설정'!$C$7)),0))</f>
        <v/>
      </c>
      <c r="N21" s="8">
        <f>IF($E21*'설정'!$C$5*IF(('설정'!$C$28*IF($A21&gt;=31,1+'설정'!$C$14*'설정'!$E$28,1)/$D21)&lt;1,('설정'!$C$28*IF($A21&gt;=31,1+'설정'!$C$14*'설정'!$E$28,1)/$D21)^(-'설정'!$C$6),('설정'!$C$28*IF($A21&gt;=31,1+'설정'!$C$14*'설정'!$E$28,1)/$D21)^(-'설정'!$C$7))&gt;('설정'!$C$4+'설정'!$F$28),"실패",ROUND($E21*'설정'!$C$5*IF(('설정'!$C$28*IF($A21&gt;=31,1+'설정'!$C$14*'설정'!$E$28,1)/$D21)&lt;1,('설정'!$C$28*IF($A21&gt;=31,1+'설정'!$C$14*'설정'!$E$28,1)/$D21)^(-'설정'!$C$6),('설정'!$C$28*IF($A21&gt;=31,1+'설정'!$C$14*'설정'!$E$28,1)/$D21)^(-'설정'!$C$7)),0))</f>
        <v/>
      </c>
      <c r="O21" s="8">
        <f>IF($E21*'설정'!$C$5*IF(('설정'!$C$29*IF($A21&gt;=31,1+'설정'!$C$14*'설정'!$E$29,1)/$D21)&lt;1,('설정'!$C$29*IF($A21&gt;=31,1+'설정'!$C$14*'설정'!$E$29,1)/$D21)^(-'설정'!$C$6),('설정'!$C$29*IF($A21&gt;=31,1+'설정'!$C$14*'설정'!$E$29,1)/$D21)^(-'설정'!$C$7))&gt;('설정'!$C$4+'설정'!$F$29),"실패",ROUND($E21*'설정'!$C$5*IF(('설정'!$C$29*IF($A21&gt;=31,1+'설정'!$C$14*'설정'!$E$29,1)/$D21)&lt;1,('설정'!$C$29*IF($A21&gt;=31,1+'설정'!$C$14*'설정'!$E$29,1)/$D21)^(-'설정'!$C$6),('설정'!$C$29*IF($A21&gt;=31,1+'설정'!$C$14*'설정'!$E$29,1)/$D21)^(-'설정'!$C$7)),0))</f>
        <v/>
      </c>
      <c r="P21" s="8">
        <f>IF($E21*'설정'!$C$5*IF(('설정'!$C$30*IF($A21&gt;=31,1+'설정'!$C$14*'설정'!$E$30,1)/$D21)&lt;1,('설정'!$C$30*IF($A21&gt;=31,1+'설정'!$C$14*'설정'!$E$30,1)/$D21)^(-'설정'!$C$6),('설정'!$C$30*IF($A21&gt;=31,1+'설정'!$C$14*'설정'!$E$30,1)/$D21)^(-'설정'!$C$7))&gt;('설정'!$C$4+'설정'!$F$30),"실패",ROUND($E21*'설정'!$C$5*IF(('설정'!$C$30*IF($A21&gt;=31,1+'설정'!$C$14*'설정'!$E$30,1)/$D21)&lt;1,('설정'!$C$30*IF($A21&gt;=31,1+'설정'!$C$14*'설정'!$E$30,1)/$D21)^(-'설정'!$C$6),('설정'!$C$30*IF($A21&gt;=31,1+'설정'!$C$14*'설정'!$E$30,1)/$D21)^(-'설정'!$C$7)),0))</f>
        <v/>
      </c>
      <c r="Q21" s="8">
        <f>IF($E21*'설정'!$C$5*IF(('설정'!$C$31*IF($A21&gt;=31,1+'설정'!$C$14*'설정'!$E$31,1)/$D21)&lt;1,('설정'!$C$31*IF($A21&gt;=31,1+'설정'!$C$14*'설정'!$E$31,1)/$D21)^(-'설정'!$C$6),('설정'!$C$31*IF($A21&gt;=31,1+'설정'!$C$14*'설정'!$E$31,1)/$D21)^(-'설정'!$C$7))&gt;('설정'!$C$4+'설정'!$F$31),"실패",ROUND($E21*'설정'!$C$5*IF(('설정'!$C$31*IF($A21&gt;=31,1+'설정'!$C$14*'설정'!$E$31,1)/$D21)&lt;1,('설정'!$C$31*IF($A21&gt;=31,1+'설정'!$C$14*'설정'!$E$31,1)/$D21)^(-'설정'!$C$6),('설정'!$C$31*IF($A21&gt;=31,1+'설정'!$C$14*'설정'!$E$31,1)/$D21)^(-'설정'!$C$7)),0))</f>
        <v/>
      </c>
      <c r="R21" s="8">
        <f>IF($E21*'설정'!$C$5*IF(('설정'!$C$32*IF($A21&gt;=31,1+'설정'!$C$14*'설정'!$E$32,1)/$D21)&lt;1,('설정'!$C$32*IF($A21&gt;=31,1+'설정'!$C$14*'설정'!$E$32,1)/$D21)^(-'설정'!$C$6),('설정'!$C$32*IF($A21&gt;=31,1+'설정'!$C$14*'설정'!$E$32,1)/$D21)^(-'설정'!$C$7))&gt;('설정'!$C$4+'설정'!$F$32),"실패",ROUND($E21*'설정'!$C$5*IF(('설정'!$C$32*IF($A21&gt;=31,1+'설정'!$C$14*'설정'!$E$32,1)/$D21)&lt;1,('설정'!$C$32*IF($A21&gt;=31,1+'설정'!$C$14*'설정'!$E$32,1)/$D21)^(-'설정'!$C$6),('설정'!$C$32*IF($A21&gt;=31,1+'설정'!$C$14*'설정'!$E$32,1)/$D21)^(-'설정'!$C$7)),0))</f>
        <v/>
      </c>
      <c r="S21" s="8">
        <f>IF($E21*'설정'!$C$5*IF(('설정'!$C$33*IF($A21&gt;=31,1+'설정'!$C$14*'설정'!$E$33,1)/$D21)&lt;1,('설정'!$C$33*IF($A21&gt;=31,1+'설정'!$C$14*'설정'!$E$33,1)/$D21)^(-'설정'!$C$6),('설정'!$C$33*IF($A21&gt;=31,1+'설정'!$C$14*'설정'!$E$33,1)/$D21)^(-'설정'!$C$7))&gt;('설정'!$C$4+'설정'!$F$33),"실패",ROUND($E21*'설정'!$C$5*IF(('설정'!$C$33*IF($A21&gt;=31,1+'설정'!$C$14*'설정'!$E$33,1)/$D21)&lt;1,('설정'!$C$33*IF($A21&gt;=31,1+'설정'!$C$14*'설정'!$E$33,1)/$D21)^(-'설정'!$C$6),('설정'!$C$33*IF($A21&gt;=31,1+'설정'!$C$14*'설정'!$E$33,1)/$D21)^(-'설정'!$C$7)),0))</f>
        <v/>
      </c>
      <c r="T21" s="8">
        <f>IF($E21*'설정'!$C$5*IF(('설정'!$C$34*IF($A21&gt;=31,1+'설정'!$C$14*'설정'!$E$34,1)/$D21)&lt;1,('설정'!$C$34*IF($A21&gt;=31,1+'설정'!$C$14*'설정'!$E$34,1)/$D21)^(-'설정'!$C$6),('설정'!$C$34*IF($A21&gt;=31,1+'설정'!$C$14*'설정'!$E$34,1)/$D21)^(-'설정'!$C$7))&gt;('설정'!$C$4+'설정'!$F$34),"실패",ROUND($E21*'설정'!$C$5*IF(('설정'!$C$34*IF($A21&gt;=31,1+'설정'!$C$14*'설정'!$E$34,1)/$D21)&lt;1,('설정'!$C$34*IF($A21&gt;=31,1+'설정'!$C$14*'설정'!$E$34,1)/$D21)^(-'설정'!$C$6),('설정'!$C$34*IF($A21&gt;=31,1+'설정'!$C$14*'설정'!$E$34,1)/$D21)^(-'설정'!$C$7)),0))</f>
        <v/>
      </c>
      <c r="U21" s="8">
        <f>IF($E21*'설정'!$C$5*IF(('설정'!$C$35*IF($A21&gt;=31,1+'설정'!$C$14*'설정'!$E$35,1)/$D21)&lt;1,('설정'!$C$35*IF($A21&gt;=31,1+'설정'!$C$14*'설정'!$E$35,1)/$D21)^(-'설정'!$C$6),('설정'!$C$35*IF($A21&gt;=31,1+'설정'!$C$14*'설정'!$E$35,1)/$D21)^(-'설정'!$C$7))&gt;('설정'!$C$4+'설정'!$F$35),"실패",ROUND($E21*'설정'!$C$5*IF(('설정'!$C$35*IF($A21&gt;=31,1+'설정'!$C$14*'설정'!$E$35,1)/$D21)&lt;1,('설정'!$C$35*IF($A21&gt;=31,1+'설정'!$C$14*'설정'!$E$35,1)/$D21)^(-'설정'!$C$6),('설정'!$C$35*IF($A21&gt;=31,1+'설정'!$C$14*'설정'!$E$35,1)/$D21)^(-'설정'!$C$7)),0))</f>
        <v/>
      </c>
      <c r="V21" s="8">
        <f>IF($E21*'설정'!$C$5*IF(('설정'!$C$36*IF($A21&gt;=31,1+'설정'!$C$14*'설정'!$E$36,1)/$D21)&lt;1,('설정'!$C$36*IF($A21&gt;=31,1+'설정'!$C$14*'설정'!$E$36,1)/$D21)^(-'설정'!$C$6),('설정'!$C$36*IF($A21&gt;=31,1+'설정'!$C$14*'설정'!$E$36,1)/$D21)^(-'설정'!$C$7))&gt;('설정'!$C$4+'설정'!$F$36),"실패",ROUND($E21*'설정'!$C$5*IF(('설정'!$C$36*IF($A21&gt;=31,1+'설정'!$C$14*'설정'!$E$36,1)/$D21)&lt;1,('설정'!$C$36*IF($A21&gt;=31,1+'설정'!$C$14*'설정'!$E$36,1)/$D21)^(-'설정'!$C$6),('설정'!$C$36*IF($A21&gt;=31,1+'설정'!$C$14*'설정'!$E$36,1)/$D21)^(-'설정'!$C$7)),0))</f>
        <v/>
      </c>
      <c r="W21" s="8">
        <f>IF($E21*'설정'!$C$5*IF(('설정'!$C$37*IF($A21&gt;=31,1+'설정'!$C$14*'설정'!$E$37,1)/$D21)&lt;1,('설정'!$C$37*IF($A21&gt;=31,1+'설정'!$C$14*'설정'!$E$37,1)/$D21)^(-'설정'!$C$6),('설정'!$C$37*IF($A21&gt;=31,1+'설정'!$C$14*'설정'!$E$37,1)/$D21)^(-'설정'!$C$7))&gt;('설정'!$C$4+'설정'!$F$37),"실패",ROUND($E21*'설정'!$C$5*IF(('설정'!$C$37*IF($A21&gt;=31,1+'설정'!$C$14*'설정'!$E$37,1)/$D21)&lt;1,('설정'!$C$37*IF($A21&gt;=31,1+'설정'!$C$14*'설정'!$E$37,1)/$D21)^(-'설정'!$C$6),('설정'!$C$37*IF($A21&gt;=31,1+'설정'!$C$14*'설정'!$E$37,1)/$D21)^(-'설정'!$C$7)),0))</f>
        <v/>
      </c>
    </row>
    <row r="22">
      <c r="A22" t="n">
        <v>20</v>
      </c>
      <c r="B22" t="inlineStr">
        <is>
          <t>어려움</t>
        </is>
      </c>
      <c r="C22" t="inlineStr">
        <is>
          <t>보스</t>
        </is>
      </c>
      <c r="D22" s="6" t="n">
        <v>228000</v>
      </c>
      <c r="E22" t="n">
        <v>90</v>
      </c>
      <c r="F22" s="6" t="n">
        <v>4570</v>
      </c>
      <c r="G22" t="n">
        <v>15</v>
      </c>
      <c r="H22" s="8">
        <f>IF($E22*'설정'!$C$5*IF(('설정'!$C$22*IF($A22&gt;=31,1+'설정'!$C$14*'설정'!$E$22,1)/$D22)&lt;1,('설정'!$C$22*IF($A22&gt;=31,1+'설정'!$C$14*'설정'!$E$22,1)/$D22)^(-'설정'!$C$6),('설정'!$C$22*IF($A22&gt;=31,1+'설정'!$C$14*'설정'!$E$22,1)/$D22)^(-'설정'!$C$7))&gt;('설정'!$C$4+'설정'!$F$22+'설정'!$G$22),"실패",ROUND($E22*'설정'!$C$5*IF(('설정'!$C$22*IF($A22&gt;=31,1+'설정'!$C$14*'설정'!$E$22,1)/$D22)&lt;1,('설정'!$C$22*IF($A22&gt;=31,1+'설정'!$C$14*'설정'!$E$22,1)/$D22)^(-'설정'!$C$6),('설정'!$C$22*IF($A22&gt;=31,1+'설정'!$C$14*'설정'!$E$22,1)/$D22)^(-'설정'!$C$7)),0))</f>
        <v/>
      </c>
      <c r="I22" s="8">
        <f>IF($E22*'설정'!$C$5*IF(('설정'!$C$23*IF($A22&gt;=31,1+'설정'!$C$14*'설정'!$E$23,1)/$D22)&lt;1,('설정'!$C$23*IF($A22&gt;=31,1+'설정'!$C$14*'설정'!$E$23,1)/$D22)^(-'설정'!$C$6),('설정'!$C$23*IF($A22&gt;=31,1+'설정'!$C$14*'설정'!$E$23,1)/$D22)^(-'설정'!$C$7))&gt;('설정'!$C$4+'설정'!$F$23+'설정'!$G$23),"실패",ROUND($E22*'설정'!$C$5*IF(('설정'!$C$23*IF($A22&gt;=31,1+'설정'!$C$14*'설정'!$E$23,1)/$D22)&lt;1,('설정'!$C$23*IF($A22&gt;=31,1+'설정'!$C$14*'설정'!$E$23,1)/$D22)^(-'설정'!$C$6),('설정'!$C$23*IF($A22&gt;=31,1+'설정'!$C$14*'설정'!$E$23,1)/$D22)^(-'설정'!$C$7)),0))</f>
        <v/>
      </c>
      <c r="J22" s="8">
        <f>IF($E22*'설정'!$C$5*IF(('설정'!$C$24*IF($A22&gt;=31,1+'설정'!$C$14*'설정'!$E$24,1)/$D22)&lt;1,('설정'!$C$24*IF($A22&gt;=31,1+'설정'!$C$14*'설정'!$E$24,1)/$D22)^(-'설정'!$C$6),('설정'!$C$24*IF($A22&gt;=31,1+'설정'!$C$14*'설정'!$E$24,1)/$D22)^(-'설정'!$C$7))&gt;('설정'!$C$4+'설정'!$F$24+'설정'!$G$24),"실패",ROUND($E22*'설정'!$C$5*IF(('설정'!$C$24*IF($A22&gt;=31,1+'설정'!$C$14*'설정'!$E$24,1)/$D22)&lt;1,('설정'!$C$24*IF($A22&gt;=31,1+'설정'!$C$14*'설정'!$E$24,1)/$D22)^(-'설정'!$C$6),('설정'!$C$24*IF($A22&gt;=31,1+'설정'!$C$14*'설정'!$E$24,1)/$D22)^(-'설정'!$C$7)),0))</f>
        <v/>
      </c>
      <c r="K22" s="8">
        <f>IF($E22*'설정'!$C$5*IF(('설정'!$C$25*IF($A22&gt;=31,1+'설정'!$C$14*'설정'!$E$25,1)/$D22)&lt;1,('설정'!$C$25*IF($A22&gt;=31,1+'설정'!$C$14*'설정'!$E$25,1)/$D22)^(-'설정'!$C$6),('설정'!$C$25*IF($A22&gt;=31,1+'설정'!$C$14*'설정'!$E$25,1)/$D22)^(-'설정'!$C$7))&gt;('설정'!$C$4+'설정'!$F$25+'설정'!$G$25),"실패",ROUND($E22*'설정'!$C$5*IF(('설정'!$C$25*IF($A22&gt;=31,1+'설정'!$C$14*'설정'!$E$25,1)/$D22)&lt;1,('설정'!$C$25*IF($A22&gt;=31,1+'설정'!$C$14*'설정'!$E$25,1)/$D22)^(-'설정'!$C$6),('설정'!$C$25*IF($A22&gt;=31,1+'설정'!$C$14*'설정'!$E$25,1)/$D22)^(-'설정'!$C$7)),0))</f>
        <v/>
      </c>
      <c r="L22" s="8">
        <f>IF($E22*'설정'!$C$5*IF(('설정'!$C$26*IF($A22&gt;=31,1+'설정'!$C$14*'설정'!$E$26,1)/$D22)&lt;1,('설정'!$C$26*IF($A22&gt;=31,1+'설정'!$C$14*'설정'!$E$26,1)/$D22)^(-'설정'!$C$6),('설정'!$C$26*IF($A22&gt;=31,1+'설정'!$C$14*'설정'!$E$26,1)/$D22)^(-'설정'!$C$7))&gt;('설정'!$C$4+'설정'!$F$26+'설정'!$G$26),"실패",ROUND($E22*'설정'!$C$5*IF(('설정'!$C$26*IF($A22&gt;=31,1+'설정'!$C$14*'설정'!$E$26,1)/$D22)&lt;1,('설정'!$C$26*IF($A22&gt;=31,1+'설정'!$C$14*'설정'!$E$26,1)/$D22)^(-'설정'!$C$6),('설정'!$C$26*IF($A22&gt;=31,1+'설정'!$C$14*'설정'!$E$26,1)/$D22)^(-'설정'!$C$7)),0))</f>
        <v/>
      </c>
      <c r="M22" s="8">
        <f>IF($E22*'설정'!$C$5*IF(('설정'!$C$27*IF($A22&gt;=31,1+'설정'!$C$14*'설정'!$E$27,1)/$D22)&lt;1,('설정'!$C$27*IF($A22&gt;=31,1+'설정'!$C$14*'설정'!$E$27,1)/$D22)^(-'설정'!$C$6),('설정'!$C$27*IF($A22&gt;=31,1+'설정'!$C$14*'설정'!$E$27,1)/$D22)^(-'설정'!$C$7))&gt;('설정'!$C$4+'설정'!$F$27+'설정'!$G$27),"실패",ROUND($E22*'설정'!$C$5*IF(('설정'!$C$27*IF($A22&gt;=31,1+'설정'!$C$14*'설정'!$E$27,1)/$D22)&lt;1,('설정'!$C$27*IF($A22&gt;=31,1+'설정'!$C$14*'설정'!$E$27,1)/$D22)^(-'설정'!$C$6),('설정'!$C$27*IF($A22&gt;=31,1+'설정'!$C$14*'설정'!$E$27,1)/$D22)^(-'설정'!$C$7)),0))</f>
        <v/>
      </c>
      <c r="N22" s="8">
        <f>IF($E22*'설정'!$C$5*IF(('설정'!$C$28*IF($A22&gt;=31,1+'설정'!$C$14*'설정'!$E$28,1)/$D22)&lt;1,('설정'!$C$28*IF($A22&gt;=31,1+'설정'!$C$14*'설정'!$E$28,1)/$D22)^(-'설정'!$C$6),('설정'!$C$28*IF($A22&gt;=31,1+'설정'!$C$14*'설정'!$E$28,1)/$D22)^(-'설정'!$C$7))&gt;('설정'!$C$4+'설정'!$F$28+'설정'!$G$28),"실패",ROUND($E22*'설정'!$C$5*IF(('설정'!$C$28*IF($A22&gt;=31,1+'설정'!$C$14*'설정'!$E$28,1)/$D22)&lt;1,('설정'!$C$28*IF($A22&gt;=31,1+'설정'!$C$14*'설정'!$E$28,1)/$D22)^(-'설정'!$C$6),('설정'!$C$28*IF($A22&gt;=31,1+'설정'!$C$14*'설정'!$E$28,1)/$D22)^(-'설정'!$C$7)),0))</f>
        <v/>
      </c>
      <c r="O22" s="8">
        <f>IF($E22*'설정'!$C$5*IF(('설정'!$C$29*IF($A22&gt;=31,1+'설정'!$C$14*'설정'!$E$29,1)/$D22)&lt;1,('설정'!$C$29*IF($A22&gt;=31,1+'설정'!$C$14*'설정'!$E$29,1)/$D22)^(-'설정'!$C$6),('설정'!$C$29*IF($A22&gt;=31,1+'설정'!$C$14*'설정'!$E$29,1)/$D22)^(-'설정'!$C$7))&gt;('설정'!$C$4+'설정'!$F$29+'설정'!$G$29),"실패",ROUND($E22*'설정'!$C$5*IF(('설정'!$C$29*IF($A22&gt;=31,1+'설정'!$C$14*'설정'!$E$29,1)/$D22)&lt;1,('설정'!$C$29*IF($A22&gt;=31,1+'설정'!$C$14*'설정'!$E$29,1)/$D22)^(-'설정'!$C$6),('설정'!$C$29*IF($A22&gt;=31,1+'설정'!$C$14*'설정'!$E$29,1)/$D22)^(-'설정'!$C$7)),0))</f>
        <v/>
      </c>
      <c r="P22" s="8">
        <f>IF($E22*'설정'!$C$5*IF(('설정'!$C$30*IF($A22&gt;=31,1+'설정'!$C$14*'설정'!$E$30,1)/$D22)&lt;1,('설정'!$C$30*IF($A22&gt;=31,1+'설정'!$C$14*'설정'!$E$30,1)/$D22)^(-'설정'!$C$6),('설정'!$C$30*IF($A22&gt;=31,1+'설정'!$C$14*'설정'!$E$30,1)/$D22)^(-'설정'!$C$7))&gt;('설정'!$C$4+'설정'!$F$30+'설정'!$G$30),"실패",ROUND($E22*'설정'!$C$5*IF(('설정'!$C$30*IF($A22&gt;=31,1+'설정'!$C$14*'설정'!$E$30,1)/$D22)&lt;1,('설정'!$C$30*IF($A22&gt;=31,1+'설정'!$C$14*'설정'!$E$30,1)/$D22)^(-'설정'!$C$6),('설정'!$C$30*IF($A22&gt;=31,1+'설정'!$C$14*'설정'!$E$30,1)/$D22)^(-'설정'!$C$7)),0))</f>
        <v/>
      </c>
      <c r="Q22" s="8">
        <f>IF($E22*'설정'!$C$5*IF(('설정'!$C$31*IF($A22&gt;=31,1+'설정'!$C$14*'설정'!$E$31,1)/$D22)&lt;1,('설정'!$C$31*IF($A22&gt;=31,1+'설정'!$C$14*'설정'!$E$31,1)/$D22)^(-'설정'!$C$6),('설정'!$C$31*IF($A22&gt;=31,1+'설정'!$C$14*'설정'!$E$31,1)/$D22)^(-'설정'!$C$7))&gt;('설정'!$C$4+'설정'!$F$31+'설정'!$G$31),"실패",ROUND($E22*'설정'!$C$5*IF(('설정'!$C$31*IF($A22&gt;=31,1+'설정'!$C$14*'설정'!$E$31,1)/$D22)&lt;1,('설정'!$C$31*IF($A22&gt;=31,1+'설정'!$C$14*'설정'!$E$31,1)/$D22)^(-'설정'!$C$6),('설정'!$C$31*IF($A22&gt;=31,1+'설정'!$C$14*'설정'!$E$31,1)/$D22)^(-'설정'!$C$7)),0))</f>
        <v/>
      </c>
      <c r="R22" s="8">
        <f>IF($E22*'설정'!$C$5*IF(('설정'!$C$32*IF($A22&gt;=31,1+'설정'!$C$14*'설정'!$E$32,1)/$D22)&lt;1,('설정'!$C$32*IF($A22&gt;=31,1+'설정'!$C$14*'설정'!$E$32,1)/$D22)^(-'설정'!$C$6),('설정'!$C$32*IF($A22&gt;=31,1+'설정'!$C$14*'설정'!$E$32,1)/$D22)^(-'설정'!$C$7))&gt;('설정'!$C$4+'설정'!$F$32+'설정'!$G$32),"실패",ROUND($E22*'설정'!$C$5*IF(('설정'!$C$32*IF($A22&gt;=31,1+'설정'!$C$14*'설정'!$E$32,1)/$D22)&lt;1,('설정'!$C$32*IF($A22&gt;=31,1+'설정'!$C$14*'설정'!$E$32,1)/$D22)^(-'설정'!$C$6),('설정'!$C$32*IF($A22&gt;=31,1+'설정'!$C$14*'설정'!$E$32,1)/$D22)^(-'설정'!$C$7)),0))</f>
        <v/>
      </c>
      <c r="S22" s="8">
        <f>IF($E22*'설정'!$C$5*IF(('설정'!$C$33*IF($A22&gt;=31,1+'설정'!$C$14*'설정'!$E$33,1)/$D22)&lt;1,('설정'!$C$33*IF($A22&gt;=31,1+'설정'!$C$14*'설정'!$E$33,1)/$D22)^(-'설정'!$C$6),('설정'!$C$33*IF($A22&gt;=31,1+'설정'!$C$14*'설정'!$E$33,1)/$D22)^(-'설정'!$C$7))&gt;('설정'!$C$4+'설정'!$F$33+'설정'!$G$33),"실패",ROUND($E22*'설정'!$C$5*IF(('설정'!$C$33*IF($A22&gt;=31,1+'설정'!$C$14*'설정'!$E$33,1)/$D22)&lt;1,('설정'!$C$33*IF($A22&gt;=31,1+'설정'!$C$14*'설정'!$E$33,1)/$D22)^(-'설정'!$C$6),('설정'!$C$33*IF($A22&gt;=31,1+'설정'!$C$14*'설정'!$E$33,1)/$D22)^(-'설정'!$C$7)),0))</f>
        <v/>
      </c>
      <c r="T22" s="8">
        <f>IF($E22*'설정'!$C$5*IF(('설정'!$C$34*IF($A22&gt;=31,1+'설정'!$C$14*'설정'!$E$34,1)/$D22)&lt;1,('설정'!$C$34*IF($A22&gt;=31,1+'설정'!$C$14*'설정'!$E$34,1)/$D22)^(-'설정'!$C$6),('설정'!$C$34*IF($A22&gt;=31,1+'설정'!$C$14*'설정'!$E$34,1)/$D22)^(-'설정'!$C$7))&gt;('설정'!$C$4+'설정'!$F$34+'설정'!$G$34),"실패",ROUND($E22*'설정'!$C$5*IF(('설정'!$C$34*IF($A22&gt;=31,1+'설정'!$C$14*'설정'!$E$34,1)/$D22)&lt;1,('설정'!$C$34*IF($A22&gt;=31,1+'설정'!$C$14*'설정'!$E$34,1)/$D22)^(-'설정'!$C$6),('설정'!$C$34*IF($A22&gt;=31,1+'설정'!$C$14*'설정'!$E$34,1)/$D22)^(-'설정'!$C$7)),0))</f>
        <v/>
      </c>
      <c r="U22" s="8">
        <f>IF($E22*'설정'!$C$5*IF(('설정'!$C$35*IF($A22&gt;=31,1+'설정'!$C$14*'설정'!$E$35,1)/$D22)&lt;1,('설정'!$C$35*IF($A22&gt;=31,1+'설정'!$C$14*'설정'!$E$35,1)/$D22)^(-'설정'!$C$6),('설정'!$C$35*IF($A22&gt;=31,1+'설정'!$C$14*'설정'!$E$35,1)/$D22)^(-'설정'!$C$7))&gt;('설정'!$C$4+'설정'!$F$35+'설정'!$G$35),"실패",ROUND($E22*'설정'!$C$5*IF(('설정'!$C$35*IF($A22&gt;=31,1+'설정'!$C$14*'설정'!$E$35,1)/$D22)&lt;1,('설정'!$C$35*IF($A22&gt;=31,1+'설정'!$C$14*'설정'!$E$35,1)/$D22)^(-'설정'!$C$6),('설정'!$C$35*IF($A22&gt;=31,1+'설정'!$C$14*'설정'!$E$35,1)/$D22)^(-'설정'!$C$7)),0))</f>
        <v/>
      </c>
      <c r="V22" s="8">
        <f>IF($E22*'설정'!$C$5*IF(('설정'!$C$36*IF($A22&gt;=31,1+'설정'!$C$14*'설정'!$E$36,1)/$D22)&lt;1,('설정'!$C$36*IF($A22&gt;=31,1+'설정'!$C$14*'설정'!$E$36,1)/$D22)^(-'설정'!$C$6),('설정'!$C$36*IF($A22&gt;=31,1+'설정'!$C$14*'설정'!$E$36,1)/$D22)^(-'설정'!$C$7))&gt;('설정'!$C$4+'설정'!$F$36+'설정'!$G$36),"실패",ROUND($E22*'설정'!$C$5*IF(('설정'!$C$36*IF($A22&gt;=31,1+'설정'!$C$14*'설정'!$E$36,1)/$D22)&lt;1,('설정'!$C$36*IF($A22&gt;=31,1+'설정'!$C$14*'설정'!$E$36,1)/$D22)^(-'설정'!$C$6),('설정'!$C$36*IF($A22&gt;=31,1+'설정'!$C$14*'설정'!$E$36,1)/$D22)^(-'설정'!$C$7)),0))</f>
        <v/>
      </c>
      <c r="W22" s="8">
        <f>IF($E22*'설정'!$C$5*IF(('설정'!$C$37*IF($A22&gt;=31,1+'설정'!$C$14*'설정'!$E$37,1)/$D22)&lt;1,('설정'!$C$37*IF($A22&gt;=31,1+'설정'!$C$14*'설정'!$E$37,1)/$D22)^(-'설정'!$C$6),('설정'!$C$37*IF($A22&gt;=31,1+'설정'!$C$14*'설정'!$E$37,1)/$D22)^(-'설정'!$C$7))&gt;('설정'!$C$4+'설정'!$F$37+'설정'!$G$37),"실패",ROUND($E22*'설정'!$C$5*IF(('설정'!$C$37*IF($A22&gt;=31,1+'설정'!$C$14*'설정'!$E$37,1)/$D22)&lt;1,('설정'!$C$37*IF($A22&gt;=31,1+'설정'!$C$14*'설정'!$E$37,1)/$D22)^(-'설정'!$C$6),('설정'!$C$37*IF($A22&gt;=31,1+'설정'!$C$14*'설정'!$E$37,1)/$D22)^(-'설정'!$C$7)),0))</f>
        <v/>
      </c>
    </row>
    <row r="23">
      <c r="A23" t="n">
        <v>21</v>
      </c>
      <c r="B23" t="inlineStr">
        <is>
          <t>보통</t>
        </is>
      </c>
      <c r="C23" t="inlineStr"/>
      <c r="D23" s="6" t="n">
        <v>203000</v>
      </c>
      <c r="E23" t="n">
        <v>72</v>
      </c>
      <c r="F23" s="6" t="n">
        <v>4060</v>
      </c>
      <c r="G23" t="n">
        <v>16</v>
      </c>
      <c r="H23" s="8">
        <f>IF($E23*'설정'!$C$5*IF(('설정'!$C$22*IF($A23&gt;=31,1+'설정'!$C$14*'설정'!$E$22,1)/$D23)&lt;1,('설정'!$C$22*IF($A23&gt;=31,1+'설정'!$C$14*'설정'!$E$22,1)/$D23)^(-'설정'!$C$6),('설정'!$C$22*IF($A23&gt;=31,1+'설정'!$C$14*'설정'!$E$22,1)/$D23)^(-'설정'!$C$7))&gt;('설정'!$C$4+'설정'!$F$22),"실패",ROUND($E23*'설정'!$C$5*IF(('설정'!$C$22*IF($A23&gt;=31,1+'설정'!$C$14*'설정'!$E$22,1)/$D23)&lt;1,('설정'!$C$22*IF($A23&gt;=31,1+'설정'!$C$14*'설정'!$E$22,1)/$D23)^(-'설정'!$C$6),('설정'!$C$22*IF($A23&gt;=31,1+'설정'!$C$14*'설정'!$E$22,1)/$D23)^(-'설정'!$C$7)),0))</f>
        <v/>
      </c>
      <c r="I23" s="8">
        <f>IF($E23*'설정'!$C$5*IF(('설정'!$C$23*IF($A23&gt;=31,1+'설정'!$C$14*'설정'!$E$23,1)/$D23)&lt;1,('설정'!$C$23*IF($A23&gt;=31,1+'설정'!$C$14*'설정'!$E$23,1)/$D23)^(-'설정'!$C$6),('설정'!$C$23*IF($A23&gt;=31,1+'설정'!$C$14*'설정'!$E$23,1)/$D23)^(-'설정'!$C$7))&gt;('설정'!$C$4+'설정'!$F$23),"실패",ROUND($E23*'설정'!$C$5*IF(('설정'!$C$23*IF($A23&gt;=31,1+'설정'!$C$14*'설정'!$E$23,1)/$D23)&lt;1,('설정'!$C$23*IF($A23&gt;=31,1+'설정'!$C$14*'설정'!$E$23,1)/$D23)^(-'설정'!$C$6),('설정'!$C$23*IF($A23&gt;=31,1+'설정'!$C$14*'설정'!$E$23,1)/$D23)^(-'설정'!$C$7)),0))</f>
        <v/>
      </c>
      <c r="J23" s="8">
        <f>IF($E23*'설정'!$C$5*IF(('설정'!$C$24*IF($A23&gt;=31,1+'설정'!$C$14*'설정'!$E$24,1)/$D23)&lt;1,('설정'!$C$24*IF($A23&gt;=31,1+'설정'!$C$14*'설정'!$E$24,1)/$D23)^(-'설정'!$C$6),('설정'!$C$24*IF($A23&gt;=31,1+'설정'!$C$14*'설정'!$E$24,1)/$D23)^(-'설정'!$C$7))&gt;('설정'!$C$4+'설정'!$F$24),"실패",ROUND($E23*'설정'!$C$5*IF(('설정'!$C$24*IF($A23&gt;=31,1+'설정'!$C$14*'설정'!$E$24,1)/$D23)&lt;1,('설정'!$C$24*IF($A23&gt;=31,1+'설정'!$C$14*'설정'!$E$24,1)/$D23)^(-'설정'!$C$6),('설정'!$C$24*IF($A23&gt;=31,1+'설정'!$C$14*'설정'!$E$24,1)/$D23)^(-'설정'!$C$7)),0))</f>
        <v/>
      </c>
      <c r="K23" s="8">
        <f>IF($E23*'설정'!$C$5*IF(('설정'!$C$25*IF($A23&gt;=31,1+'설정'!$C$14*'설정'!$E$25,1)/$D23)&lt;1,('설정'!$C$25*IF($A23&gt;=31,1+'설정'!$C$14*'설정'!$E$25,1)/$D23)^(-'설정'!$C$6),('설정'!$C$25*IF($A23&gt;=31,1+'설정'!$C$14*'설정'!$E$25,1)/$D23)^(-'설정'!$C$7))&gt;('설정'!$C$4+'설정'!$F$25),"실패",ROUND($E23*'설정'!$C$5*IF(('설정'!$C$25*IF($A23&gt;=31,1+'설정'!$C$14*'설정'!$E$25,1)/$D23)&lt;1,('설정'!$C$25*IF($A23&gt;=31,1+'설정'!$C$14*'설정'!$E$25,1)/$D23)^(-'설정'!$C$6),('설정'!$C$25*IF($A23&gt;=31,1+'설정'!$C$14*'설정'!$E$25,1)/$D23)^(-'설정'!$C$7)),0))</f>
        <v/>
      </c>
      <c r="L23" s="8">
        <f>IF($E23*'설정'!$C$5*IF(('설정'!$C$26*IF($A23&gt;=31,1+'설정'!$C$14*'설정'!$E$26,1)/$D23)&lt;1,('설정'!$C$26*IF($A23&gt;=31,1+'설정'!$C$14*'설정'!$E$26,1)/$D23)^(-'설정'!$C$6),('설정'!$C$26*IF($A23&gt;=31,1+'설정'!$C$14*'설정'!$E$26,1)/$D23)^(-'설정'!$C$7))&gt;('설정'!$C$4+'설정'!$F$26),"실패",ROUND($E23*'설정'!$C$5*IF(('설정'!$C$26*IF($A23&gt;=31,1+'설정'!$C$14*'설정'!$E$26,1)/$D23)&lt;1,('설정'!$C$26*IF($A23&gt;=31,1+'설정'!$C$14*'설정'!$E$26,1)/$D23)^(-'설정'!$C$6),('설정'!$C$26*IF($A23&gt;=31,1+'설정'!$C$14*'설정'!$E$26,1)/$D23)^(-'설정'!$C$7)),0))</f>
        <v/>
      </c>
      <c r="M23" s="8">
        <f>IF($E23*'설정'!$C$5*IF(('설정'!$C$27*IF($A23&gt;=31,1+'설정'!$C$14*'설정'!$E$27,1)/$D23)&lt;1,('설정'!$C$27*IF($A23&gt;=31,1+'설정'!$C$14*'설정'!$E$27,1)/$D23)^(-'설정'!$C$6),('설정'!$C$27*IF($A23&gt;=31,1+'설정'!$C$14*'설정'!$E$27,1)/$D23)^(-'설정'!$C$7))&gt;('설정'!$C$4+'설정'!$F$27),"실패",ROUND($E23*'설정'!$C$5*IF(('설정'!$C$27*IF($A23&gt;=31,1+'설정'!$C$14*'설정'!$E$27,1)/$D23)&lt;1,('설정'!$C$27*IF($A23&gt;=31,1+'설정'!$C$14*'설정'!$E$27,1)/$D23)^(-'설정'!$C$6),('설정'!$C$27*IF($A23&gt;=31,1+'설정'!$C$14*'설정'!$E$27,1)/$D23)^(-'설정'!$C$7)),0))</f>
        <v/>
      </c>
      <c r="N23" s="8">
        <f>IF($E23*'설정'!$C$5*IF(('설정'!$C$28*IF($A23&gt;=31,1+'설정'!$C$14*'설정'!$E$28,1)/$D23)&lt;1,('설정'!$C$28*IF($A23&gt;=31,1+'설정'!$C$14*'설정'!$E$28,1)/$D23)^(-'설정'!$C$6),('설정'!$C$28*IF($A23&gt;=31,1+'설정'!$C$14*'설정'!$E$28,1)/$D23)^(-'설정'!$C$7))&gt;('설정'!$C$4+'설정'!$F$28),"실패",ROUND($E23*'설정'!$C$5*IF(('설정'!$C$28*IF($A23&gt;=31,1+'설정'!$C$14*'설정'!$E$28,1)/$D23)&lt;1,('설정'!$C$28*IF($A23&gt;=31,1+'설정'!$C$14*'설정'!$E$28,1)/$D23)^(-'설정'!$C$6),('설정'!$C$28*IF($A23&gt;=31,1+'설정'!$C$14*'설정'!$E$28,1)/$D23)^(-'설정'!$C$7)),0))</f>
        <v/>
      </c>
      <c r="O23" s="8">
        <f>IF($E23*'설정'!$C$5*IF(('설정'!$C$29*IF($A23&gt;=31,1+'설정'!$C$14*'설정'!$E$29,1)/$D23)&lt;1,('설정'!$C$29*IF($A23&gt;=31,1+'설정'!$C$14*'설정'!$E$29,1)/$D23)^(-'설정'!$C$6),('설정'!$C$29*IF($A23&gt;=31,1+'설정'!$C$14*'설정'!$E$29,1)/$D23)^(-'설정'!$C$7))&gt;('설정'!$C$4+'설정'!$F$29),"실패",ROUND($E23*'설정'!$C$5*IF(('설정'!$C$29*IF($A23&gt;=31,1+'설정'!$C$14*'설정'!$E$29,1)/$D23)&lt;1,('설정'!$C$29*IF($A23&gt;=31,1+'설정'!$C$14*'설정'!$E$29,1)/$D23)^(-'설정'!$C$6),('설정'!$C$29*IF($A23&gt;=31,1+'설정'!$C$14*'설정'!$E$29,1)/$D23)^(-'설정'!$C$7)),0))</f>
        <v/>
      </c>
      <c r="P23" s="8">
        <f>IF($E23*'설정'!$C$5*IF(('설정'!$C$30*IF($A23&gt;=31,1+'설정'!$C$14*'설정'!$E$30,1)/$D23)&lt;1,('설정'!$C$30*IF($A23&gt;=31,1+'설정'!$C$14*'설정'!$E$30,1)/$D23)^(-'설정'!$C$6),('설정'!$C$30*IF($A23&gt;=31,1+'설정'!$C$14*'설정'!$E$30,1)/$D23)^(-'설정'!$C$7))&gt;('설정'!$C$4+'설정'!$F$30),"실패",ROUND($E23*'설정'!$C$5*IF(('설정'!$C$30*IF($A23&gt;=31,1+'설정'!$C$14*'설정'!$E$30,1)/$D23)&lt;1,('설정'!$C$30*IF($A23&gt;=31,1+'설정'!$C$14*'설정'!$E$30,1)/$D23)^(-'설정'!$C$6),('설정'!$C$30*IF($A23&gt;=31,1+'설정'!$C$14*'설정'!$E$30,1)/$D23)^(-'설정'!$C$7)),0))</f>
        <v/>
      </c>
      <c r="Q23" s="8">
        <f>IF($E23*'설정'!$C$5*IF(('설정'!$C$31*IF($A23&gt;=31,1+'설정'!$C$14*'설정'!$E$31,1)/$D23)&lt;1,('설정'!$C$31*IF($A23&gt;=31,1+'설정'!$C$14*'설정'!$E$31,1)/$D23)^(-'설정'!$C$6),('설정'!$C$31*IF($A23&gt;=31,1+'설정'!$C$14*'설정'!$E$31,1)/$D23)^(-'설정'!$C$7))&gt;('설정'!$C$4+'설정'!$F$31),"실패",ROUND($E23*'설정'!$C$5*IF(('설정'!$C$31*IF($A23&gt;=31,1+'설정'!$C$14*'설정'!$E$31,1)/$D23)&lt;1,('설정'!$C$31*IF($A23&gt;=31,1+'설정'!$C$14*'설정'!$E$31,1)/$D23)^(-'설정'!$C$6),('설정'!$C$31*IF($A23&gt;=31,1+'설정'!$C$14*'설정'!$E$31,1)/$D23)^(-'설정'!$C$7)),0))</f>
        <v/>
      </c>
      <c r="R23" s="8">
        <f>IF($E23*'설정'!$C$5*IF(('설정'!$C$32*IF($A23&gt;=31,1+'설정'!$C$14*'설정'!$E$32,1)/$D23)&lt;1,('설정'!$C$32*IF($A23&gt;=31,1+'설정'!$C$14*'설정'!$E$32,1)/$D23)^(-'설정'!$C$6),('설정'!$C$32*IF($A23&gt;=31,1+'설정'!$C$14*'설정'!$E$32,1)/$D23)^(-'설정'!$C$7))&gt;('설정'!$C$4+'설정'!$F$32),"실패",ROUND($E23*'설정'!$C$5*IF(('설정'!$C$32*IF($A23&gt;=31,1+'설정'!$C$14*'설정'!$E$32,1)/$D23)&lt;1,('설정'!$C$32*IF($A23&gt;=31,1+'설정'!$C$14*'설정'!$E$32,1)/$D23)^(-'설정'!$C$6),('설정'!$C$32*IF($A23&gt;=31,1+'설정'!$C$14*'설정'!$E$32,1)/$D23)^(-'설정'!$C$7)),0))</f>
        <v/>
      </c>
      <c r="S23" s="8">
        <f>IF($E23*'설정'!$C$5*IF(('설정'!$C$33*IF($A23&gt;=31,1+'설정'!$C$14*'설정'!$E$33,1)/$D23)&lt;1,('설정'!$C$33*IF($A23&gt;=31,1+'설정'!$C$14*'설정'!$E$33,1)/$D23)^(-'설정'!$C$6),('설정'!$C$33*IF($A23&gt;=31,1+'설정'!$C$14*'설정'!$E$33,1)/$D23)^(-'설정'!$C$7))&gt;('설정'!$C$4+'설정'!$F$33),"실패",ROUND($E23*'설정'!$C$5*IF(('설정'!$C$33*IF($A23&gt;=31,1+'설정'!$C$14*'설정'!$E$33,1)/$D23)&lt;1,('설정'!$C$33*IF($A23&gt;=31,1+'설정'!$C$14*'설정'!$E$33,1)/$D23)^(-'설정'!$C$6),('설정'!$C$33*IF($A23&gt;=31,1+'설정'!$C$14*'설정'!$E$33,1)/$D23)^(-'설정'!$C$7)),0))</f>
        <v/>
      </c>
      <c r="T23" s="8">
        <f>IF($E23*'설정'!$C$5*IF(('설정'!$C$34*IF($A23&gt;=31,1+'설정'!$C$14*'설정'!$E$34,1)/$D23)&lt;1,('설정'!$C$34*IF($A23&gt;=31,1+'설정'!$C$14*'설정'!$E$34,1)/$D23)^(-'설정'!$C$6),('설정'!$C$34*IF($A23&gt;=31,1+'설정'!$C$14*'설정'!$E$34,1)/$D23)^(-'설정'!$C$7))&gt;('설정'!$C$4+'설정'!$F$34),"실패",ROUND($E23*'설정'!$C$5*IF(('설정'!$C$34*IF($A23&gt;=31,1+'설정'!$C$14*'설정'!$E$34,1)/$D23)&lt;1,('설정'!$C$34*IF($A23&gt;=31,1+'설정'!$C$14*'설정'!$E$34,1)/$D23)^(-'설정'!$C$6),('설정'!$C$34*IF($A23&gt;=31,1+'설정'!$C$14*'설정'!$E$34,1)/$D23)^(-'설정'!$C$7)),0))</f>
        <v/>
      </c>
      <c r="U23" s="8">
        <f>IF($E23*'설정'!$C$5*IF(('설정'!$C$35*IF($A23&gt;=31,1+'설정'!$C$14*'설정'!$E$35,1)/$D23)&lt;1,('설정'!$C$35*IF($A23&gt;=31,1+'설정'!$C$14*'설정'!$E$35,1)/$D23)^(-'설정'!$C$6),('설정'!$C$35*IF($A23&gt;=31,1+'설정'!$C$14*'설정'!$E$35,1)/$D23)^(-'설정'!$C$7))&gt;('설정'!$C$4+'설정'!$F$35),"실패",ROUND($E23*'설정'!$C$5*IF(('설정'!$C$35*IF($A23&gt;=31,1+'설정'!$C$14*'설정'!$E$35,1)/$D23)&lt;1,('설정'!$C$35*IF($A23&gt;=31,1+'설정'!$C$14*'설정'!$E$35,1)/$D23)^(-'설정'!$C$6),('설정'!$C$35*IF($A23&gt;=31,1+'설정'!$C$14*'설정'!$E$35,1)/$D23)^(-'설정'!$C$7)),0))</f>
        <v/>
      </c>
      <c r="V23" s="8">
        <f>IF($E23*'설정'!$C$5*IF(('설정'!$C$36*IF($A23&gt;=31,1+'설정'!$C$14*'설정'!$E$36,1)/$D23)&lt;1,('설정'!$C$36*IF($A23&gt;=31,1+'설정'!$C$14*'설정'!$E$36,1)/$D23)^(-'설정'!$C$6),('설정'!$C$36*IF($A23&gt;=31,1+'설정'!$C$14*'설정'!$E$36,1)/$D23)^(-'설정'!$C$7))&gt;('설정'!$C$4+'설정'!$F$36),"실패",ROUND($E23*'설정'!$C$5*IF(('설정'!$C$36*IF($A23&gt;=31,1+'설정'!$C$14*'설정'!$E$36,1)/$D23)&lt;1,('설정'!$C$36*IF($A23&gt;=31,1+'설정'!$C$14*'설정'!$E$36,1)/$D23)^(-'설정'!$C$6),('설정'!$C$36*IF($A23&gt;=31,1+'설정'!$C$14*'설정'!$E$36,1)/$D23)^(-'설정'!$C$7)),0))</f>
        <v/>
      </c>
      <c r="W23" s="8">
        <f>IF($E23*'설정'!$C$5*IF(('설정'!$C$37*IF($A23&gt;=31,1+'설정'!$C$14*'설정'!$E$37,1)/$D23)&lt;1,('설정'!$C$37*IF($A23&gt;=31,1+'설정'!$C$14*'설정'!$E$37,1)/$D23)^(-'설정'!$C$6),('설정'!$C$37*IF($A23&gt;=31,1+'설정'!$C$14*'설정'!$E$37,1)/$D23)^(-'설정'!$C$7))&gt;('설정'!$C$4+'설정'!$F$37),"실패",ROUND($E23*'설정'!$C$5*IF(('설정'!$C$37*IF($A23&gt;=31,1+'설정'!$C$14*'설정'!$E$37,1)/$D23)&lt;1,('설정'!$C$37*IF($A23&gt;=31,1+'설정'!$C$14*'설정'!$E$37,1)/$D23)^(-'설정'!$C$6),('설정'!$C$37*IF($A23&gt;=31,1+'설정'!$C$14*'설정'!$E$37,1)/$D23)^(-'설정'!$C$7)),0))</f>
        <v/>
      </c>
    </row>
    <row r="24">
      <c r="A24" t="n">
        <v>22</v>
      </c>
      <c r="B24" t="inlineStr">
        <is>
          <t>보통</t>
        </is>
      </c>
      <c r="C24" t="inlineStr"/>
      <c r="D24" s="6" t="n">
        <v>208000</v>
      </c>
      <c r="E24" t="n">
        <v>72</v>
      </c>
      <c r="F24" s="6" t="n">
        <v>4160</v>
      </c>
      <c r="G24" t="n">
        <v>17</v>
      </c>
      <c r="H24" s="8">
        <f>IF($E24*'설정'!$C$5*IF(('설정'!$C$22*IF($A24&gt;=31,1+'설정'!$C$14*'설정'!$E$22,1)/$D24)&lt;1,('설정'!$C$22*IF($A24&gt;=31,1+'설정'!$C$14*'설정'!$E$22,1)/$D24)^(-'설정'!$C$6),('설정'!$C$22*IF($A24&gt;=31,1+'설정'!$C$14*'설정'!$E$22,1)/$D24)^(-'설정'!$C$7))&gt;('설정'!$C$4+'설정'!$F$22),"실패",ROUND($E24*'설정'!$C$5*IF(('설정'!$C$22*IF($A24&gt;=31,1+'설정'!$C$14*'설정'!$E$22,1)/$D24)&lt;1,('설정'!$C$22*IF($A24&gt;=31,1+'설정'!$C$14*'설정'!$E$22,1)/$D24)^(-'설정'!$C$6),('설정'!$C$22*IF($A24&gt;=31,1+'설정'!$C$14*'설정'!$E$22,1)/$D24)^(-'설정'!$C$7)),0))</f>
        <v/>
      </c>
      <c r="I24" s="8">
        <f>IF($E24*'설정'!$C$5*IF(('설정'!$C$23*IF($A24&gt;=31,1+'설정'!$C$14*'설정'!$E$23,1)/$D24)&lt;1,('설정'!$C$23*IF($A24&gt;=31,1+'설정'!$C$14*'설정'!$E$23,1)/$D24)^(-'설정'!$C$6),('설정'!$C$23*IF($A24&gt;=31,1+'설정'!$C$14*'설정'!$E$23,1)/$D24)^(-'설정'!$C$7))&gt;('설정'!$C$4+'설정'!$F$23),"실패",ROUND($E24*'설정'!$C$5*IF(('설정'!$C$23*IF($A24&gt;=31,1+'설정'!$C$14*'설정'!$E$23,1)/$D24)&lt;1,('설정'!$C$23*IF($A24&gt;=31,1+'설정'!$C$14*'설정'!$E$23,1)/$D24)^(-'설정'!$C$6),('설정'!$C$23*IF($A24&gt;=31,1+'설정'!$C$14*'설정'!$E$23,1)/$D24)^(-'설정'!$C$7)),0))</f>
        <v/>
      </c>
      <c r="J24" s="8">
        <f>IF($E24*'설정'!$C$5*IF(('설정'!$C$24*IF($A24&gt;=31,1+'설정'!$C$14*'설정'!$E$24,1)/$D24)&lt;1,('설정'!$C$24*IF($A24&gt;=31,1+'설정'!$C$14*'설정'!$E$24,1)/$D24)^(-'설정'!$C$6),('설정'!$C$24*IF($A24&gt;=31,1+'설정'!$C$14*'설정'!$E$24,1)/$D24)^(-'설정'!$C$7))&gt;('설정'!$C$4+'설정'!$F$24),"실패",ROUND($E24*'설정'!$C$5*IF(('설정'!$C$24*IF($A24&gt;=31,1+'설정'!$C$14*'설정'!$E$24,1)/$D24)&lt;1,('설정'!$C$24*IF($A24&gt;=31,1+'설정'!$C$14*'설정'!$E$24,1)/$D24)^(-'설정'!$C$6),('설정'!$C$24*IF($A24&gt;=31,1+'설정'!$C$14*'설정'!$E$24,1)/$D24)^(-'설정'!$C$7)),0))</f>
        <v/>
      </c>
      <c r="K24" s="8">
        <f>IF($E24*'설정'!$C$5*IF(('설정'!$C$25*IF($A24&gt;=31,1+'설정'!$C$14*'설정'!$E$25,1)/$D24)&lt;1,('설정'!$C$25*IF($A24&gt;=31,1+'설정'!$C$14*'설정'!$E$25,1)/$D24)^(-'설정'!$C$6),('설정'!$C$25*IF($A24&gt;=31,1+'설정'!$C$14*'설정'!$E$25,1)/$D24)^(-'설정'!$C$7))&gt;('설정'!$C$4+'설정'!$F$25),"실패",ROUND($E24*'설정'!$C$5*IF(('설정'!$C$25*IF($A24&gt;=31,1+'설정'!$C$14*'설정'!$E$25,1)/$D24)&lt;1,('설정'!$C$25*IF($A24&gt;=31,1+'설정'!$C$14*'설정'!$E$25,1)/$D24)^(-'설정'!$C$6),('설정'!$C$25*IF($A24&gt;=31,1+'설정'!$C$14*'설정'!$E$25,1)/$D24)^(-'설정'!$C$7)),0))</f>
        <v/>
      </c>
      <c r="L24" s="8">
        <f>IF($E24*'설정'!$C$5*IF(('설정'!$C$26*IF($A24&gt;=31,1+'설정'!$C$14*'설정'!$E$26,1)/$D24)&lt;1,('설정'!$C$26*IF($A24&gt;=31,1+'설정'!$C$14*'설정'!$E$26,1)/$D24)^(-'설정'!$C$6),('설정'!$C$26*IF($A24&gt;=31,1+'설정'!$C$14*'설정'!$E$26,1)/$D24)^(-'설정'!$C$7))&gt;('설정'!$C$4+'설정'!$F$26),"실패",ROUND($E24*'설정'!$C$5*IF(('설정'!$C$26*IF($A24&gt;=31,1+'설정'!$C$14*'설정'!$E$26,1)/$D24)&lt;1,('설정'!$C$26*IF($A24&gt;=31,1+'설정'!$C$14*'설정'!$E$26,1)/$D24)^(-'설정'!$C$6),('설정'!$C$26*IF($A24&gt;=31,1+'설정'!$C$14*'설정'!$E$26,1)/$D24)^(-'설정'!$C$7)),0))</f>
        <v/>
      </c>
      <c r="M24" s="8">
        <f>IF($E24*'설정'!$C$5*IF(('설정'!$C$27*IF($A24&gt;=31,1+'설정'!$C$14*'설정'!$E$27,1)/$D24)&lt;1,('설정'!$C$27*IF($A24&gt;=31,1+'설정'!$C$14*'설정'!$E$27,1)/$D24)^(-'설정'!$C$6),('설정'!$C$27*IF($A24&gt;=31,1+'설정'!$C$14*'설정'!$E$27,1)/$D24)^(-'설정'!$C$7))&gt;('설정'!$C$4+'설정'!$F$27),"실패",ROUND($E24*'설정'!$C$5*IF(('설정'!$C$27*IF($A24&gt;=31,1+'설정'!$C$14*'설정'!$E$27,1)/$D24)&lt;1,('설정'!$C$27*IF($A24&gt;=31,1+'설정'!$C$14*'설정'!$E$27,1)/$D24)^(-'설정'!$C$6),('설정'!$C$27*IF($A24&gt;=31,1+'설정'!$C$14*'설정'!$E$27,1)/$D24)^(-'설정'!$C$7)),0))</f>
        <v/>
      </c>
      <c r="N24" s="8">
        <f>IF($E24*'설정'!$C$5*IF(('설정'!$C$28*IF($A24&gt;=31,1+'설정'!$C$14*'설정'!$E$28,1)/$D24)&lt;1,('설정'!$C$28*IF($A24&gt;=31,1+'설정'!$C$14*'설정'!$E$28,1)/$D24)^(-'설정'!$C$6),('설정'!$C$28*IF($A24&gt;=31,1+'설정'!$C$14*'설정'!$E$28,1)/$D24)^(-'설정'!$C$7))&gt;('설정'!$C$4+'설정'!$F$28),"실패",ROUND($E24*'설정'!$C$5*IF(('설정'!$C$28*IF($A24&gt;=31,1+'설정'!$C$14*'설정'!$E$28,1)/$D24)&lt;1,('설정'!$C$28*IF($A24&gt;=31,1+'설정'!$C$14*'설정'!$E$28,1)/$D24)^(-'설정'!$C$6),('설정'!$C$28*IF($A24&gt;=31,1+'설정'!$C$14*'설정'!$E$28,1)/$D24)^(-'설정'!$C$7)),0))</f>
        <v/>
      </c>
      <c r="O24" s="8">
        <f>IF($E24*'설정'!$C$5*IF(('설정'!$C$29*IF($A24&gt;=31,1+'설정'!$C$14*'설정'!$E$29,1)/$D24)&lt;1,('설정'!$C$29*IF($A24&gt;=31,1+'설정'!$C$14*'설정'!$E$29,1)/$D24)^(-'설정'!$C$6),('설정'!$C$29*IF($A24&gt;=31,1+'설정'!$C$14*'설정'!$E$29,1)/$D24)^(-'설정'!$C$7))&gt;('설정'!$C$4+'설정'!$F$29),"실패",ROUND($E24*'설정'!$C$5*IF(('설정'!$C$29*IF($A24&gt;=31,1+'설정'!$C$14*'설정'!$E$29,1)/$D24)&lt;1,('설정'!$C$29*IF($A24&gt;=31,1+'설정'!$C$14*'설정'!$E$29,1)/$D24)^(-'설정'!$C$6),('설정'!$C$29*IF($A24&gt;=31,1+'설정'!$C$14*'설정'!$E$29,1)/$D24)^(-'설정'!$C$7)),0))</f>
        <v/>
      </c>
      <c r="P24" s="8">
        <f>IF($E24*'설정'!$C$5*IF(('설정'!$C$30*IF($A24&gt;=31,1+'설정'!$C$14*'설정'!$E$30,1)/$D24)&lt;1,('설정'!$C$30*IF($A24&gt;=31,1+'설정'!$C$14*'설정'!$E$30,1)/$D24)^(-'설정'!$C$6),('설정'!$C$30*IF($A24&gt;=31,1+'설정'!$C$14*'설정'!$E$30,1)/$D24)^(-'설정'!$C$7))&gt;('설정'!$C$4+'설정'!$F$30),"실패",ROUND($E24*'설정'!$C$5*IF(('설정'!$C$30*IF($A24&gt;=31,1+'설정'!$C$14*'설정'!$E$30,1)/$D24)&lt;1,('설정'!$C$30*IF($A24&gt;=31,1+'설정'!$C$14*'설정'!$E$30,1)/$D24)^(-'설정'!$C$6),('설정'!$C$30*IF($A24&gt;=31,1+'설정'!$C$14*'설정'!$E$30,1)/$D24)^(-'설정'!$C$7)),0))</f>
        <v/>
      </c>
      <c r="Q24" s="8">
        <f>IF($E24*'설정'!$C$5*IF(('설정'!$C$31*IF($A24&gt;=31,1+'설정'!$C$14*'설정'!$E$31,1)/$D24)&lt;1,('설정'!$C$31*IF($A24&gt;=31,1+'설정'!$C$14*'설정'!$E$31,1)/$D24)^(-'설정'!$C$6),('설정'!$C$31*IF($A24&gt;=31,1+'설정'!$C$14*'설정'!$E$31,1)/$D24)^(-'설정'!$C$7))&gt;('설정'!$C$4+'설정'!$F$31),"실패",ROUND($E24*'설정'!$C$5*IF(('설정'!$C$31*IF($A24&gt;=31,1+'설정'!$C$14*'설정'!$E$31,1)/$D24)&lt;1,('설정'!$C$31*IF($A24&gt;=31,1+'설정'!$C$14*'설정'!$E$31,1)/$D24)^(-'설정'!$C$6),('설정'!$C$31*IF($A24&gt;=31,1+'설정'!$C$14*'설정'!$E$31,1)/$D24)^(-'설정'!$C$7)),0))</f>
        <v/>
      </c>
      <c r="R24" s="8">
        <f>IF($E24*'설정'!$C$5*IF(('설정'!$C$32*IF($A24&gt;=31,1+'설정'!$C$14*'설정'!$E$32,1)/$D24)&lt;1,('설정'!$C$32*IF($A24&gt;=31,1+'설정'!$C$14*'설정'!$E$32,1)/$D24)^(-'설정'!$C$6),('설정'!$C$32*IF($A24&gt;=31,1+'설정'!$C$14*'설정'!$E$32,1)/$D24)^(-'설정'!$C$7))&gt;('설정'!$C$4+'설정'!$F$32),"실패",ROUND($E24*'설정'!$C$5*IF(('설정'!$C$32*IF($A24&gt;=31,1+'설정'!$C$14*'설정'!$E$32,1)/$D24)&lt;1,('설정'!$C$32*IF($A24&gt;=31,1+'설정'!$C$14*'설정'!$E$32,1)/$D24)^(-'설정'!$C$6),('설정'!$C$32*IF($A24&gt;=31,1+'설정'!$C$14*'설정'!$E$32,1)/$D24)^(-'설정'!$C$7)),0))</f>
        <v/>
      </c>
      <c r="S24" s="8">
        <f>IF($E24*'설정'!$C$5*IF(('설정'!$C$33*IF($A24&gt;=31,1+'설정'!$C$14*'설정'!$E$33,1)/$D24)&lt;1,('설정'!$C$33*IF($A24&gt;=31,1+'설정'!$C$14*'설정'!$E$33,1)/$D24)^(-'설정'!$C$6),('설정'!$C$33*IF($A24&gt;=31,1+'설정'!$C$14*'설정'!$E$33,1)/$D24)^(-'설정'!$C$7))&gt;('설정'!$C$4+'설정'!$F$33),"실패",ROUND($E24*'설정'!$C$5*IF(('설정'!$C$33*IF($A24&gt;=31,1+'설정'!$C$14*'설정'!$E$33,1)/$D24)&lt;1,('설정'!$C$33*IF($A24&gt;=31,1+'설정'!$C$14*'설정'!$E$33,1)/$D24)^(-'설정'!$C$6),('설정'!$C$33*IF($A24&gt;=31,1+'설정'!$C$14*'설정'!$E$33,1)/$D24)^(-'설정'!$C$7)),0))</f>
        <v/>
      </c>
      <c r="T24" s="8">
        <f>IF($E24*'설정'!$C$5*IF(('설정'!$C$34*IF($A24&gt;=31,1+'설정'!$C$14*'설정'!$E$34,1)/$D24)&lt;1,('설정'!$C$34*IF($A24&gt;=31,1+'설정'!$C$14*'설정'!$E$34,1)/$D24)^(-'설정'!$C$6),('설정'!$C$34*IF($A24&gt;=31,1+'설정'!$C$14*'설정'!$E$34,1)/$D24)^(-'설정'!$C$7))&gt;('설정'!$C$4+'설정'!$F$34),"실패",ROUND($E24*'설정'!$C$5*IF(('설정'!$C$34*IF($A24&gt;=31,1+'설정'!$C$14*'설정'!$E$34,1)/$D24)&lt;1,('설정'!$C$34*IF($A24&gt;=31,1+'설정'!$C$14*'설정'!$E$34,1)/$D24)^(-'설정'!$C$6),('설정'!$C$34*IF($A24&gt;=31,1+'설정'!$C$14*'설정'!$E$34,1)/$D24)^(-'설정'!$C$7)),0))</f>
        <v/>
      </c>
      <c r="U24" s="8">
        <f>IF($E24*'설정'!$C$5*IF(('설정'!$C$35*IF($A24&gt;=31,1+'설정'!$C$14*'설정'!$E$35,1)/$D24)&lt;1,('설정'!$C$35*IF($A24&gt;=31,1+'설정'!$C$14*'설정'!$E$35,1)/$D24)^(-'설정'!$C$6),('설정'!$C$35*IF($A24&gt;=31,1+'설정'!$C$14*'설정'!$E$35,1)/$D24)^(-'설정'!$C$7))&gt;('설정'!$C$4+'설정'!$F$35),"실패",ROUND($E24*'설정'!$C$5*IF(('설정'!$C$35*IF($A24&gt;=31,1+'설정'!$C$14*'설정'!$E$35,1)/$D24)&lt;1,('설정'!$C$35*IF($A24&gt;=31,1+'설정'!$C$14*'설정'!$E$35,1)/$D24)^(-'설정'!$C$6),('설정'!$C$35*IF($A24&gt;=31,1+'설정'!$C$14*'설정'!$E$35,1)/$D24)^(-'설정'!$C$7)),0))</f>
        <v/>
      </c>
      <c r="V24" s="8">
        <f>IF($E24*'설정'!$C$5*IF(('설정'!$C$36*IF($A24&gt;=31,1+'설정'!$C$14*'설정'!$E$36,1)/$D24)&lt;1,('설정'!$C$36*IF($A24&gt;=31,1+'설정'!$C$14*'설정'!$E$36,1)/$D24)^(-'설정'!$C$6),('설정'!$C$36*IF($A24&gt;=31,1+'설정'!$C$14*'설정'!$E$36,1)/$D24)^(-'설정'!$C$7))&gt;('설정'!$C$4+'설정'!$F$36),"실패",ROUND($E24*'설정'!$C$5*IF(('설정'!$C$36*IF($A24&gt;=31,1+'설정'!$C$14*'설정'!$E$36,1)/$D24)&lt;1,('설정'!$C$36*IF($A24&gt;=31,1+'설정'!$C$14*'설정'!$E$36,1)/$D24)^(-'설정'!$C$6),('설정'!$C$36*IF($A24&gt;=31,1+'설정'!$C$14*'설정'!$E$36,1)/$D24)^(-'설정'!$C$7)),0))</f>
        <v/>
      </c>
      <c r="W24" s="8">
        <f>IF($E24*'설정'!$C$5*IF(('설정'!$C$37*IF($A24&gt;=31,1+'설정'!$C$14*'설정'!$E$37,1)/$D24)&lt;1,('설정'!$C$37*IF($A24&gt;=31,1+'설정'!$C$14*'설정'!$E$37,1)/$D24)^(-'설정'!$C$6),('설정'!$C$37*IF($A24&gt;=31,1+'설정'!$C$14*'설정'!$E$37,1)/$D24)^(-'설정'!$C$7))&gt;('설정'!$C$4+'설정'!$F$37),"실패",ROUND($E24*'설정'!$C$5*IF(('설정'!$C$37*IF($A24&gt;=31,1+'설정'!$C$14*'설정'!$E$37,1)/$D24)&lt;1,('설정'!$C$37*IF($A24&gt;=31,1+'설정'!$C$14*'설정'!$E$37,1)/$D24)^(-'설정'!$C$6),('설정'!$C$37*IF($A24&gt;=31,1+'설정'!$C$14*'설정'!$E$37,1)/$D24)^(-'설정'!$C$7)),0))</f>
        <v/>
      </c>
    </row>
    <row r="25">
      <c r="A25" t="n">
        <v>23</v>
      </c>
      <c r="B25" t="inlineStr">
        <is>
          <t>보통</t>
        </is>
      </c>
      <c r="C25" t="inlineStr"/>
      <c r="D25" s="6" t="n">
        <v>213000</v>
      </c>
      <c r="E25" t="n">
        <v>72</v>
      </c>
      <c r="F25" s="6" t="n">
        <v>4250</v>
      </c>
      <c r="G25" t="n">
        <v>18</v>
      </c>
      <c r="H25" s="8">
        <f>IF($E25*'설정'!$C$5*IF(('설정'!$C$22*IF($A25&gt;=31,1+'설정'!$C$14*'설정'!$E$22,1)/$D25)&lt;1,('설정'!$C$22*IF($A25&gt;=31,1+'설정'!$C$14*'설정'!$E$22,1)/$D25)^(-'설정'!$C$6),('설정'!$C$22*IF($A25&gt;=31,1+'설정'!$C$14*'설정'!$E$22,1)/$D25)^(-'설정'!$C$7))&gt;('설정'!$C$4+'설정'!$F$22),"실패",ROUND($E25*'설정'!$C$5*IF(('설정'!$C$22*IF($A25&gt;=31,1+'설정'!$C$14*'설정'!$E$22,1)/$D25)&lt;1,('설정'!$C$22*IF($A25&gt;=31,1+'설정'!$C$14*'설정'!$E$22,1)/$D25)^(-'설정'!$C$6),('설정'!$C$22*IF($A25&gt;=31,1+'설정'!$C$14*'설정'!$E$22,1)/$D25)^(-'설정'!$C$7)),0))</f>
        <v/>
      </c>
      <c r="I25" s="8">
        <f>IF($E25*'설정'!$C$5*IF(('설정'!$C$23*IF($A25&gt;=31,1+'설정'!$C$14*'설정'!$E$23,1)/$D25)&lt;1,('설정'!$C$23*IF($A25&gt;=31,1+'설정'!$C$14*'설정'!$E$23,1)/$D25)^(-'설정'!$C$6),('설정'!$C$23*IF($A25&gt;=31,1+'설정'!$C$14*'설정'!$E$23,1)/$D25)^(-'설정'!$C$7))&gt;('설정'!$C$4+'설정'!$F$23),"실패",ROUND($E25*'설정'!$C$5*IF(('설정'!$C$23*IF($A25&gt;=31,1+'설정'!$C$14*'설정'!$E$23,1)/$D25)&lt;1,('설정'!$C$23*IF($A25&gt;=31,1+'설정'!$C$14*'설정'!$E$23,1)/$D25)^(-'설정'!$C$6),('설정'!$C$23*IF($A25&gt;=31,1+'설정'!$C$14*'설정'!$E$23,1)/$D25)^(-'설정'!$C$7)),0))</f>
        <v/>
      </c>
      <c r="J25" s="8">
        <f>IF($E25*'설정'!$C$5*IF(('설정'!$C$24*IF($A25&gt;=31,1+'설정'!$C$14*'설정'!$E$24,1)/$D25)&lt;1,('설정'!$C$24*IF($A25&gt;=31,1+'설정'!$C$14*'설정'!$E$24,1)/$D25)^(-'설정'!$C$6),('설정'!$C$24*IF($A25&gt;=31,1+'설정'!$C$14*'설정'!$E$24,1)/$D25)^(-'설정'!$C$7))&gt;('설정'!$C$4+'설정'!$F$24),"실패",ROUND($E25*'설정'!$C$5*IF(('설정'!$C$24*IF($A25&gt;=31,1+'설정'!$C$14*'설정'!$E$24,1)/$D25)&lt;1,('설정'!$C$24*IF($A25&gt;=31,1+'설정'!$C$14*'설정'!$E$24,1)/$D25)^(-'설정'!$C$6),('설정'!$C$24*IF($A25&gt;=31,1+'설정'!$C$14*'설정'!$E$24,1)/$D25)^(-'설정'!$C$7)),0))</f>
        <v/>
      </c>
      <c r="K25" s="8">
        <f>IF($E25*'설정'!$C$5*IF(('설정'!$C$25*IF($A25&gt;=31,1+'설정'!$C$14*'설정'!$E$25,1)/$D25)&lt;1,('설정'!$C$25*IF($A25&gt;=31,1+'설정'!$C$14*'설정'!$E$25,1)/$D25)^(-'설정'!$C$6),('설정'!$C$25*IF($A25&gt;=31,1+'설정'!$C$14*'설정'!$E$25,1)/$D25)^(-'설정'!$C$7))&gt;('설정'!$C$4+'설정'!$F$25),"실패",ROUND($E25*'설정'!$C$5*IF(('설정'!$C$25*IF($A25&gt;=31,1+'설정'!$C$14*'설정'!$E$25,1)/$D25)&lt;1,('설정'!$C$25*IF($A25&gt;=31,1+'설정'!$C$14*'설정'!$E$25,1)/$D25)^(-'설정'!$C$6),('설정'!$C$25*IF($A25&gt;=31,1+'설정'!$C$14*'설정'!$E$25,1)/$D25)^(-'설정'!$C$7)),0))</f>
        <v/>
      </c>
      <c r="L25" s="8">
        <f>IF($E25*'설정'!$C$5*IF(('설정'!$C$26*IF($A25&gt;=31,1+'설정'!$C$14*'설정'!$E$26,1)/$D25)&lt;1,('설정'!$C$26*IF($A25&gt;=31,1+'설정'!$C$14*'설정'!$E$26,1)/$D25)^(-'설정'!$C$6),('설정'!$C$26*IF($A25&gt;=31,1+'설정'!$C$14*'설정'!$E$26,1)/$D25)^(-'설정'!$C$7))&gt;('설정'!$C$4+'설정'!$F$26),"실패",ROUND($E25*'설정'!$C$5*IF(('설정'!$C$26*IF($A25&gt;=31,1+'설정'!$C$14*'설정'!$E$26,1)/$D25)&lt;1,('설정'!$C$26*IF($A25&gt;=31,1+'설정'!$C$14*'설정'!$E$26,1)/$D25)^(-'설정'!$C$6),('설정'!$C$26*IF($A25&gt;=31,1+'설정'!$C$14*'설정'!$E$26,1)/$D25)^(-'설정'!$C$7)),0))</f>
        <v/>
      </c>
      <c r="M25" s="8">
        <f>IF($E25*'설정'!$C$5*IF(('설정'!$C$27*IF($A25&gt;=31,1+'설정'!$C$14*'설정'!$E$27,1)/$D25)&lt;1,('설정'!$C$27*IF($A25&gt;=31,1+'설정'!$C$14*'설정'!$E$27,1)/$D25)^(-'설정'!$C$6),('설정'!$C$27*IF($A25&gt;=31,1+'설정'!$C$14*'설정'!$E$27,1)/$D25)^(-'설정'!$C$7))&gt;('설정'!$C$4+'설정'!$F$27),"실패",ROUND($E25*'설정'!$C$5*IF(('설정'!$C$27*IF($A25&gt;=31,1+'설정'!$C$14*'설정'!$E$27,1)/$D25)&lt;1,('설정'!$C$27*IF($A25&gt;=31,1+'설정'!$C$14*'설정'!$E$27,1)/$D25)^(-'설정'!$C$6),('설정'!$C$27*IF($A25&gt;=31,1+'설정'!$C$14*'설정'!$E$27,1)/$D25)^(-'설정'!$C$7)),0))</f>
        <v/>
      </c>
      <c r="N25" s="8">
        <f>IF($E25*'설정'!$C$5*IF(('설정'!$C$28*IF($A25&gt;=31,1+'설정'!$C$14*'설정'!$E$28,1)/$D25)&lt;1,('설정'!$C$28*IF($A25&gt;=31,1+'설정'!$C$14*'설정'!$E$28,1)/$D25)^(-'설정'!$C$6),('설정'!$C$28*IF($A25&gt;=31,1+'설정'!$C$14*'설정'!$E$28,1)/$D25)^(-'설정'!$C$7))&gt;('설정'!$C$4+'설정'!$F$28),"실패",ROUND($E25*'설정'!$C$5*IF(('설정'!$C$28*IF($A25&gt;=31,1+'설정'!$C$14*'설정'!$E$28,1)/$D25)&lt;1,('설정'!$C$28*IF($A25&gt;=31,1+'설정'!$C$14*'설정'!$E$28,1)/$D25)^(-'설정'!$C$6),('설정'!$C$28*IF($A25&gt;=31,1+'설정'!$C$14*'설정'!$E$28,1)/$D25)^(-'설정'!$C$7)),0))</f>
        <v/>
      </c>
      <c r="O25" s="8">
        <f>IF($E25*'설정'!$C$5*IF(('설정'!$C$29*IF($A25&gt;=31,1+'설정'!$C$14*'설정'!$E$29,1)/$D25)&lt;1,('설정'!$C$29*IF($A25&gt;=31,1+'설정'!$C$14*'설정'!$E$29,1)/$D25)^(-'설정'!$C$6),('설정'!$C$29*IF($A25&gt;=31,1+'설정'!$C$14*'설정'!$E$29,1)/$D25)^(-'설정'!$C$7))&gt;('설정'!$C$4+'설정'!$F$29),"실패",ROUND($E25*'설정'!$C$5*IF(('설정'!$C$29*IF($A25&gt;=31,1+'설정'!$C$14*'설정'!$E$29,1)/$D25)&lt;1,('설정'!$C$29*IF($A25&gt;=31,1+'설정'!$C$14*'설정'!$E$29,1)/$D25)^(-'설정'!$C$6),('설정'!$C$29*IF($A25&gt;=31,1+'설정'!$C$14*'설정'!$E$29,1)/$D25)^(-'설정'!$C$7)),0))</f>
        <v/>
      </c>
      <c r="P25" s="8">
        <f>IF($E25*'설정'!$C$5*IF(('설정'!$C$30*IF($A25&gt;=31,1+'설정'!$C$14*'설정'!$E$30,1)/$D25)&lt;1,('설정'!$C$30*IF($A25&gt;=31,1+'설정'!$C$14*'설정'!$E$30,1)/$D25)^(-'설정'!$C$6),('설정'!$C$30*IF($A25&gt;=31,1+'설정'!$C$14*'설정'!$E$30,1)/$D25)^(-'설정'!$C$7))&gt;('설정'!$C$4+'설정'!$F$30),"실패",ROUND($E25*'설정'!$C$5*IF(('설정'!$C$30*IF($A25&gt;=31,1+'설정'!$C$14*'설정'!$E$30,1)/$D25)&lt;1,('설정'!$C$30*IF($A25&gt;=31,1+'설정'!$C$14*'설정'!$E$30,1)/$D25)^(-'설정'!$C$6),('설정'!$C$30*IF($A25&gt;=31,1+'설정'!$C$14*'설정'!$E$30,1)/$D25)^(-'설정'!$C$7)),0))</f>
        <v/>
      </c>
      <c r="Q25" s="8">
        <f>IF($E25*'설정'!$C$5*IF(('설정'!$C$31*IF($A25&gt;=31,1+'설정'!$C$14*'설정'!$E$31,1)/$D25)&lt;1,('설정'!$C$31*IF($A25&gt;=31,1+'설정'!$C$14*'설정'!$E$31,1)/$D25)^(-'설정'!$C$6),('설정'!$C$31*IF($A25&gt;=31,1+'설정'!$C$14*'설정'!$E$31,1)/$D25)^(-'설정'!$C$7))&gt;('설정'!$C$4+'설정'!$F$31),"실패",ROUND($E25*'설정'!$C$5*IF(('설정'!$C$31*IF($A25&gt;=31,1+'설정'!$C$14*'설정'!$E$31,1)/$D25)&lt;1,('설정'!$C$31*IF($A25&gt;=31,1+'설정'!$C$14*'설정'!$E$31,1)/$D25)^(-'설정'!$C$6),('설정'!$C$31*IF($A25&gt;=31,1+'설정'!$C$14*'설정'!$E$31,1)/$D25)^(-'설정'!$C$7)),0))</f>
        <v/>
      </c>
      <c r="R25" s="8">
        <f>IF($E25*'설정'!$C$5*IF(('설정'!$C$32*IF($A25&gt;=31,1+'설정'!$C$14*'설정'!$E$32,1)/$D25)&lt;1,('설정'!$C$32*IF($A25&gt;=31,1+'설정'!$C$14*'설정'!$E$32,1)/$D25)^(-'설정'!$C$6),('설정'!$C$32*IF($A25&gt;=31,1+'설정'!$C$14*'설정'!$E$32,1)/$D25)^(-'설정'!$C$7))&gt;('설정'!$C$4+'설정'!$F$32),"실패",ROUND($E25*'설정'!$C$5*IF(('설정'!$C$32*IF($A25&gt;=31,1+'설정'!$C$14*'설정'!$E$32,1)/$D25)&lt;1,('설정'!$C$32*IF($A25&gt;=31,1+'설정'!$C$14*'설정'!$E$32,1)/$D25)^(-'설정'!$C$6),('설정'!$C$32*IF($A25&gt;=31,1+'설정'!$C$14*'설정'!$E$32,1)/$D25)^(-'설정'!$C$7)),0))</f>
        <v/>
      </c>
      <c r="S25" s="8">
        <f>IF($E25*'설정'!$C$5*IF(('설정'!$C$33*IF($A25&gt;=31,1+'설정'!$C$14*'설정'!$E$33,1)/$D25)&lt;1,('설정'!$C$33*IF($A25&gt;=31,1+'설정'!$C$14*'설정'!$E$33,1)/$D25)^(-'설정'!$C$6),('설정'!$C$33*IF($A25&gt;=31,1+'설정'!$C$14*'설정'!$E$33,1)/$D25)^(-'설정'!$C$7))&gt;('설정'!$C$4+'설정'!$F$33),"실패",ROUND($E25*'설정'!$C$5*IF(('설정'!$C$33*IF($A25&gt;=31,1+'설정'!$C$14*'설정'!$E$33,1)/$D25)&lt;1,('설정'!$C$33*IF($A25&gt;=31,1+'설정'!$C$14*'설정'!$E$33,1)/$D25)^(-'설정'!$C$6),('설정'!$C$33*IF($A25&gt;=31,1+'설정'!$C$14*'설정'!$E$33,1)/$D25)^(-'설정'!$C$7)),0))</f>
        <v/>
      </c>
      <c r="T25" s="8">
        <f>IF($E25*'설정'!$C$5*IF(('설정'!$C$34*IF($A25&gt;=31,1+'설정'!$C$14*'설정'!$E$34,1)/$D25)&lt;1,('설정'!$C$34*IF($A25&gt;=31,1+'설정'!$C$14*'설정'!$E$34,1)/$D25)^(-'설정'!$C$6),('설정'!$C$34*IF($A25&gt;=31,1+'설정'!$C$14*'설정'!$E$34,1)/$D25)^(-'설정'!$C$7))&gt;('설정'!$C$4+'설정'!$F$34),"실패",ROUND($E25*'설정'!$C$5*IF(('설정'!$C$34*IF($A25&gt;=31,1+'설정'!$C$14*'설정'!$E$34,1)/$D25)&lt;1,('설정'!$C$34*IF($A25&gt;=31,1+'설정'!$C$14*'설정'!$E$34,1)/$D25)^(-'설정'!$C$6),('설정'!$C$34*IF($A25&gt;=31,1+'설정'!$C$14*'설정'!$E$34,1)/$D25)^(-'설정'!$C$7)),0))</f>
        <v/>
      </c>
      <c r="U25" s="8">
        <f>IF($E25*'설정'!$C$5*IF(('설정'!$C$35*IF($A25&gt;=31,1+'설정'!$C$14*'설정'!$E$35,1)/$D25)&lt;1,('설정'!$C$35*IF($A25&gt;=31,1+'설정'!$C$14*'설정'!$E$35,1)/$D25)^(-'설정'!$C$6),('설정'!$C$35*IF($A25&gt;=31,1+'설정'!$C$14*'설정'!$E$35,1)/$D25)^(-'설정'!$C$7))&gt;('설정'!$C$4+'설정'!$F$35),"실패",ROUND($E25*'설정'!$C$5*IF(('설정'!$C$35*IF($A25&gt;=31,1+'설정'!$C$14*'설정'!$E$35,1)/$D25)&lt;1,('설정'!$C$35*IF($A25&gt;=31,1+'설정'!$C$14*'설정'!$E$35,1)/$D25)^(-'설정'!$C$6),('설정'!$C$35*IF($A25&gt;=31,1+'설정'!$C$14*'설정'!$E$35,1)/$D25)^(-'설정'!$C$7)),0))</f>
        <v/>
      </c>
      <c r="V25" s="8">
        <f>IF($E25*'설정'!$C$5*IF(('설정'!$C$36*IF($A25&gt;=31,1+'설정'!$C$14*'설정'!$E$36,1)/$D25)&lt;1,('설정'!$C$36*IF($A25&gt;=31,1+'설정'!$C$14*'설정'!$E$36,1)/$D25)^(-'설정'!$C$6),('설정'!$C$36*IF($A25&gt;=31,1+'설정'!$C$14*'설정'!$E$36,1)/$D25)^(-'설정'!$C$7))&gt;('설정'!$C$4+'설정'!$F$36),"실패",ROUND($E25*'설정'!$C$5*IF(('설정'!$C$36*IF($A25&gt;=31,1+'설정'!$C$14*'설정'!$E$36,1)/$D25)&lt;1,('설정'!$C$36*IF($A25&gt;=31,1+'설정'!$C$14*'설정'!$E$36,1)/$D25)^(-'설정'!$C$6),('설정'!$C$36*IF($A25&gt;=31,1+'설정'!$C$14*'설정'!$E$36,1)/$D25)^(-'설정'!$C$7)),0))</f>
        <v/>
      </c>
      <c r="W25" s="8">
        <f>IF($E25*'설정'!$C$5*IF(('설정'!$C$37*IF($A25&gt;=31,1+'설정'!$C$14*'설정'!$E$37,1)/$D25)&lt;1,('설정'!$C$37*IF($A25&gt;=31,1+'설정'!$C$14*'설정'!$E$37,1)/$D25)^(-'설정'!$C$6),('설정'!$C$37*IF($A25&gt;=31,1+'설정'!$C$14*'설정'!$E$37,1)/$D25)^(-'설정'!$C$7))&gt;('설정'!$C$4+'설정'!$F$37),"실패",ROUND($E25*'설정'!$C$5*IF(('설정'!$C$37*IF($A25&gt;=31,1+'설정'!$C$14*'설정'!$E$37,1)/$D25)&lt;1,('설정'!$C$37*IF($A25&gt;=31,1+'설정'!$C$14*'설정'!$E$37,1)/$D25)^(-'설정'!$C$6),('설정'!$C$37*IF($A25&gt;=31,1+'설정'!$C$14*'설정'!$E$37,1)/$D25)^(-'설정'!$C$7)),0))</f>
        <v/>
      </c>
    </row>
    <row r="26">
      <c r="A26" t="n">
        <v>24</v>
      </c>
      <c r="B26" t="inlineStr">
        <is>
          <t>보통</t>
        </is>
      </c>
      <c r="C26" t="inlineStr"/>
      <c r="D26" s="6" t="n">
        <v>218000</v>
      </c>
      <c r="E26" t="n">
        <v>72</v>
      </c>
      <c r="F26" s="6" t="n">
        <v>4350</v>
      </c>
      <c r="G26" t="n">
        <v>19</v>
      </c>
      <c r="H26" s="8">
        <f>IF($E26*'설정'!$C$5*IF(('설정'!$C$22*IF($A26&gt;=31,1+'설정'!$C$14*'설정'!$E$22,1)/$D26)&lt;1,('설정'!$C$22*IF($A26&gt;=31,1+'설정'!$C$14*'설정'!$E$22,1)/$D26)^(-'설정'!$C$6),('설정'!$C$22*IF($A26&gt;=31,1+'설정'!$C$14*'설정'!$E$22,1)/$D26)^(-'설정'!$C$7))&gt;('설정'!$C$4+'설정'!$F$22),"실패",ROUND($E26*'설정'!$C$5*IF(('설정'!$C$22*IF($A26&gt;=31,1+'설정'!$C$14*'설정'!$E$22,1)/$D26)&lt;1,('설정'!$C$22*IF($A26&gt;=31,1+'설정'!$C$14*'설정'!$E$22,1)/$D26)^(-'설정'!$C$6),('설정'!$C$22*IF($A26&gt;=31,1+'설정'!$C$14*'설정'!$E$22,1)/$D26)^(-'설정'!$C$7)),0))</f>
        <v/>
      </c>
      <c r="I26" s="8">
        <f>IF($E26*'설정'!$C$5*IF(('설정'!$C$23*IF($A26&gt;=31,1+'설정'!$C$14*'설정'!$E$23,1)/$D26)&lt;1,('설정'!$C$23*IF($A26&gt;=31,1+'설정'!$C$14*'설정'!$E$23,1)/$D26)^(-'설정'!$C$6),('설정'!$C$23*IF($A26&gt;=31,1+'설정'!$C$14*'설정'!$E$23,1)/$D26)^(-'설정'!$C$7))&gt;('설정'!$C$4+'설정'!$F$23),"실패",ROUND($E26*'설정'!$C$5*IF(('설정'!$C$23*IF($A26&gt;=31,1+'설정'!$C$14*'설정'!$E$23,1)/$D26)&lt;1,('설정'!$C$23*IF($A26&gt;=31,1+'설정'!$C$14*'설정'!$E$23,1)/$D26)^(-'설정'!$C$6),('설정'!$C$23*IF($A26&gt;=31,1+'설정'!$C$14*'설정'!$E$23,1)/$D26)^(-'설정'!$C$7)),0))</f>
        <v/>
      </c>
      <c r="J26" s="8">
        <f>IF($E26*'설정'!$C$5*IF(('설정'!$C$24*IF($A26&gt;=31,1+'설정'!$C$14*'설정'!$E$24,1)/$D26)&lt;1,('설정'!$C$24*IF($A26&gt;=31,1+'설정'!$C$14*'설정'!$E$24,1)/$D26)^(-'설정'!$C$6),('설정'!$C$24*IF($A26&gt;=31,1+'설정'!$C$14*'설정'!$E$24,1)/$D26)^(-'설정'!$C$7))&gt;('설정'!$C$4+'설정'!$F$24),"실패",ROUND($E26*'설정'!$C$5*IF(('설정'!$C$24*IF($A26&gt;=31,1+'설정'!$C$14*'설정'!$E$24,1)/$D26)&lt;1,('설정'!$C$24*IF($A26&gt;=31,1+'설정'!$C$14*'설정'!$E$24,1)/$D26)^(-'설정'!$C$6),('설정'!$C$24*IF($A26&gt;=31,1+'설정'!$C$14*'설정'!$E$24,1)/$D26)^(-'설정'!$C$7)),0))</f>
        <v/>
      </c>
      <c r="K26" s="8">
        <f>IF($E26*'설정'!$C$5*IF(('설정'!$C$25*IF($A26&gt;=31,1+'설정'!$C$14*'설정'!$E$25,1)/$D26)&lt;1,('설정'!$C$25*IF($A26&gt;=31,1+'설정'!$C$14*'설정'!$E$25,1)/$D26)^(-'설정'!$C$6),('설정'!$C$25*IF($A26&gt;=31,1+'설정'!$C$14*'설정'!$E$25,1)/$D26)^(-'설정'!$C$7))&gt;('설정'!$C$4+'설정'!$F$25),"실패",ROUND($E26*'설정'!$C$5*IF(('설정'!$C$25*IF($A26&gt;=31,1+'설정'!$C$14*'설정'!$E$25,1)/$D26)&lt;1,('설정'!$C$25*IF($A26&gt;=31,1+'설정'!$C$14*'설정'!$E$25,1)/$D26)^(-'설정'!$C$6),('설정'!$C$25*IF($A26&gt;=31,1+'설정'!$C$14*'설정'!$E$25,1)/$D26)^(-'설정'!$C$7)),0))</f>
        <v/>
      </c>
      <c r="L26" s="8">
        <f>IF($E26*'설정'!$C$5*IF(('설정'!$C$26*IF($A26&gt;=31,1+'설정'!$C$14*'설정'!$E$26,1)/$D26)&lt;1,('설정'!$C$26*IF($A26&gt;=31,1+'설정'!$C$14*'설정'!$E$26,1)/$D26)^(-'설정'!$C$6),('설정'!$C$26*IF($A26&gt;=31,1+'설정'!$C$14*'설정'!$E$26,1)/$D26)^(-'설정'!$C$7))&gt;('설정'!$C$4+'설정'!$F$26),"실패",ROUND($E26*'설정'!$C$5*IF(('설정'!$C$26*IF($A26&gt;=31,1+'설정'!$C$14*'설정'!$E$26,1)/$D26)&lt;1,('설정'!$C$26*IF($A26&gt;=31,1+'설정'!$C$14*'설정'!$E$26,1)/$D26)^(-'설정'!$C$6),('설정'!$C$26*IF($A26&gt;=31,1+'설정'!$C$14*'설정'!$E$26,1)/$D26)^(-'설정'!$C$7)),0))</f>
        <v/>
      </c>
      <c r="M26" s="8">
        <f>IF($E26*'설정'!$C$5*IF(('설정'!$C$27*IF($A26&gt;=31,1+'설정'!$C$14*'설정'!$E$27,1)/$D26)&lt;1,('설정'!$C$27*IF($A26&gt;=31,1+'설정'!$C$14*'설정'!$E$27,1)/$D26)^(-'설정'!$C$6),('설정'!$C$27*IF($A26&gt;=31,1+'설정'!$C$14*'설정'!$E$27,1)/$D26)^(-'설정'!$C$7))&gt;('설정'!$C$4+'설정'!$F$27),"실패",ROUND($E26*'설정'!$C$5*IF(('설정'!$C$27*IF($A26&gt;=31,1+'설정'!$C$14*'설정'!$E$27,1)/$D26)&lt;1,('설정'!$C$27*IF($A26&gt;=31,1+'설정'!$C$14*'설정'!$E$27,1)/$D26)^(-'설정'!$C$6),('설정'!$C$27*IF($A26&gt;=31,1+'설정'!$C$14*'설정'!$E$27,1)/$D26)^(-'설정'!$C$7)),0))</f>
        <v/>
      </c>
      <c r="N26" s="8">
        <f>IF($E26*'설정'!$C$5*IF(('설정'!$C$28*IF($A26&gt;=31,1+'설정'!$C$14*'설정'!$E$28,1)/$D26)&lt;1,('설정'!$C$28*IF($A26&gt;=31,1+'설정'!$C$14*'설정'!$E$28,1)/$D26)^(-'설정'!$C$6),('설정'!$C$28*IF($A26&gt;=31,1+'설정'!$C$14*'설정'!$E$28,1)/$D26)^(-'설정'!$C$7))&gt;('설정'!$C$4+'설정'!$F$28),"실패",ROUND($E26*'설정'!$C$5*IF(('설정'!$C$28*IF($A26&gt;=31,1+'설정'!$C$14*'설정'!$E$28,1)/$D26)&lt;1,('설정'!$C$28*IF($A26&gt;=31,1+'설정'!$C$14*'설정'!$E$28,1)/$D26)^(-'설정'!$C$6),('설정'!$C$28*IF($A26&gt;=31,1+'설정'!$C$14*'설정'!$E$28,1)/$D26)^(-'설정'!$C$7)),0))</f>
        <v/>
      </c>
      <c r="O26" s="8">
        <f>IF($E26*'설정'!$C$5*IF(('설정'!$C$29*IF($A26&gt;=31,1+'설정'!$C$14*'설정'!$E$29,1)/$D26)&lt;1,('설정'!$C$29*IF($A26&gt;=31,1+'설정'!$C$14*'설정'!$E$29,1)/$D26)^(-'설정'!$C$6),('설정'!$C$29*IF($A26&gt;=31,1+'설정'!$C$14*'설정'!$E$29,1)/$D26)^(-'설정'!$C$7))&gt;('설정'!$C$4+'설정'!$F$29),"실패",ROUND($E26*'설정'!$C$5*IF(('설정'!$C$29*IF($A26&gt;=31,1+'설정'!$C$14*'설정'!$E$29,1)/$D26)&lt;1,('설정'!$C$29*IF($A26&gt;=31,1+'설정'!$C$14*'설정'!$E$29,1)/$D26)^(-'설정'!$C$6),('설정'!$C$29*IF($A26&gt;=31,1+'설정'!$C$14*'설정'!$E$29,1)/$D26)^(-'설정'!$C$7)),0))</f>
        <v/>
      </c>
      <c r="P26" s="8">
        <f>IF($E26*'설정'!$C$5*IF(('설정'!$C$30*IF($A26&gt;=31,1+'설정'!$C$14*'설정'!$E$30,1)/$D26)&lt;1,('설정'!$C$30*IF($A26&gt;=31,1+'설정'!$C$14*'설정'!$E$30,1)/$D26)^(-'설정'!$C$6),('설정'!$C$30*IF($A26&gt;=31,1+'설정'!$C$14*'설정'!$E$30,1)/$D26)^(-'설정'!$C$7))&gt;('설정'!$C$4+'설정'!$F$30),"실패",ROUND($E26*'설정'!$C$5*IF(('설정'!$C$30*IF($A26&gt;=31,1+'설정'!$C$14*'설정'!$E$30,1)/$D26)&lt;1,('설정'!$C$30*IF($A26&gt;=31,1+'설정'!$C$14*'설정'!$E$30,1)/$D26)^(-'설정'!$C$6),('설정'!$C$30*IF($A26&gt;=31,1+'설정'!$C$14*'설정'!$E$30,1)/$D26)^(-'설정'!$C$7)),0))</f>
        <v/>
      </c>
      <c r="Q26" s="8">
        <f>IF($E26*'설정'!$C$5*IF(('설정'!$C$31*IF($A26&gt;=31,1+'설정'!$C$14*'설정'!$E$31,1)/$D26)&lt;1,('설정'!$C$31*IF($A26&gt;=31,1+'설정'!$C$14*'설정'!$E$31,1)/$D26)^(-'설정'!$C$6),('설정'!$C$31*IF($A26&gt;=31,1+'설정'!$C$14*'설정'!$E$31,1)/$D26)^(-'설정'!$C$7))&gt;('설정'!$C$4+'설정'!$F$31),"실패",ROUND($E26*'설정'!$C$5*IF(('설정'!$C$31*IF($A26&gt;=31,1+'설정'!$C$14*'설정'!$E$31,1)/$D26)&lt;1,('설정'!$C$31*IF($A26&gt;=31,1+'설정'!$C$14*'설정'!$E$31,1)/$D26)^(-'설정'!$C$6),('설정'!$C$31*IF($A26&gt;=31,1+'설정'!$C$14*'설정'!$E$31,1)/$D26)^(-'설정'!$C$7)),0))</f>
        <v/>
      </c>
      <c r="R26" s="8">
        <f>IF($E26*'설정'!$C$5*IF(('설정'!$C$32*IF($A26&gt;=31,1+'설정'!$C$14*'설정'!$E$32,1)/$D26)&lt;1,('설정'!$C$32*IF($A26&gt;=31,1+'설정'!$C$14*'설정'!$E$32,1)/$D26)^(-'설정'!$C$6),('설정'!$C$32*IF($A26&gt;=31,1+'설정'!$C$14*'설정'!$E$32,1)/$D26)^(-'설정'!$C$7))&gt;('설정'!$C$4+'설정'!$F$32),"실패",ROUND($E26*'설정'!$C$5*IF(('설정'!$C$32*IF($A26&gt;=31,1+'설정'!$C$14*'설정'!$E$32,1)/$D26)&lt;1,('설정'!$C$32*IF($A26&gt;=31,1+'설정'!$C$14*'설정'!$E$32,1)/$D26)^(-'설정'!$C$6),('설정'!$C$32*IF($A26&gt;=31,1+'설정'!$C$14*'설정'!$E$32,1)/$D26)^(-'설정'!$C$7)),0))</f>
        <v/>
      </c>
      <c r="S26" s="8">
        <f>IF($E26*'설정'!$C$5*IF(('설정'!$C$33*IF($A26&gt;=31,1+'설정'!$C$14*'설정'!$E$33,1)/$D26)&lt;1,('설정'!$C$33*IF($A26&gt;=31,1+'설정'!$C$14*'설정'!$E$33,1)/$D26)^(-'설정'!$C$6),('설정'!$C$33*IF($A26&gt;=31,1+'설정'!$C$14*'설정'!$E$33,1)/$D26)^(-'설정'!$C$7))&gt;('설정'!$C$4+'설정'!$F$33),"실패",ROUND($E26*'설정'!$C$5*IF(('설정'!$C$33*IF($A26&gt;=31,1+'설정'!$C$14*'설정'!$E$33,1)/$D26)&lt;1,('설정'!$C$33*IF($A26&gt;=31,1+'설정'!$C$14*'설정'!$E$33,1)/$D26)^(-'설정'!$C$6),('설정'!$C$33*IF($A26&gt;=31,1+'설정'!$C$14*'설정'!$E$33,1)/$D26)^(-'설정'!$C$7)),0))</f>
        <v/>
      </c>
      <c r="T26" s="8">
        <f>IF($E26*'설정'!$C$5*IF(('설정'!$C$34*IF($A26&gt;=31,1+'설정'!$C$14*'설정'!$E$34,1)/$D26)&lt;1,('설정'!$C$34*IF($A26&gt;=31,1+'설정'!$C$14*'설정'!$E$34,1)/$D26)^(-'설정'!$C$6),('설정'!$C$34*IF($A26&gt;=31,1+'설정'!$C$14*'설정'!$E$34,1)/$D26)^(-'설정'!$C$7))&gt;('설정'!$C$4+'설정'!$F$34),"실패",ROUND($E26*'설정'!$C$5*IF(('설정'!$C$34*IF($A26&gt;=31,1+'설정'!$C$14*'설정'!$E$34,1)/$D26)&lt;1,('설정'!$C$34*IF($A26&gt;=31,1+'설정'!$C$14*'설정'!$E$34,1)/$D26)^(-'설정'!$C$6),('설정'!$C$34*IF($A26&gt;=31,1+'설정'!$C$14*'설정'!$E$34,1)/$D26)^(-'설정'!$C$7)),0))</f>
        <v/>
      </c>
      <c r="U26" s="8">
        <f>IF($E26*'설정'!$C$5*IF(('설정'!$C$35*IF($A26&gt;=31,1+'설정'!$C$14*'설정'!$E$35,1)/$D26)&lt;1,('설정'!$C$35*IF($A26&gt;=31,1+'설정'!$C$14*'설정'!$E$35,1)/$D26)^(-'설정'!$C$6),('설정'!$C$35*IF($A26&gt;=31,1+'설정'!$C$14*'설정'!$E$35,1)/$D26)^(-'설정'!$C$7))&gt;('설정'!$C$4+'설정'!$F$35),"실패",ROUND($E26*'설정'!$C$5*IF(('설정'!$C$35*IF($A26&gt;=31,1+'설정'!$C$14*'설정'!$E$35,1)/$D26)&lt;1,('설정'!$C$35*IF($A26&gt;=31,1+'설정'!$C$14*'설정'!$E$35,1)/$D26)^(-'설정'!$C$6),('설정'!$C$35*IF($A26&gt;=31,1+'설정'!$C$14*'설정'!$E$35,1)/$D26)^(-'설정'!$C$7)),0))</f>
        <v/>
      </c>
      <c r="V26" s="8">
        <f>IF($E26*'설정'!$C$5*IF(('설정'!$C$36*IF($A26&gt;=31,1+'설정'!$C$14*'설정'!$E$36,1)/$D26)&lt;1,('설정'!$C$36*IF($A26&gt;=31,1+'설정'!$C$14*'설정'!$E$36,1)/$D26)^(-'설정'!$C$6),('설정'!$C$36*IF($A26&gt;=31,1+'설정'!$C$14*'설정'!$E$36,1)/$D26)^(-'설정'!$C$7))&gt;('설정'!$C$4+'설정'!$F$36),"실패",ROUND($E26*'설정'!$C$5*IF(('설정'!$C$36*IF($A26&gt;=31,1+'설정'!$C$14*'설정'!$E$36,1)/$D26)&lt;1,('설정'!$C$36*IF($A26&gt;=31,1+'설정'!$C$14*'설정'!$E$36,1)/$D26)^(-'설정'!$C$6),('설정'!$C$36*IF($A26&gt;=31,1+'설정'!$C$14*'설정'!$E$36,1)/$D26)^(-'설정'!$C$7)),0))</f>
        <v/>
      </c>
      <c r="W26" s="8">
        <f>IF($E26*'설정'!$C$5*IF(('설정'!$C$37*IF($A26&gt;=31,1+'설정'!$C$14*'설정'!$E$37,1)/$D26)&lt;1,('설정'!$C$37*IF($A26&gt;=31,1+'설정'!$C$14*'설정'!$E$37,1)/$D26)^(-'설정'!$C$6),('설정'!$C$37*IF($A26&gt;=31,1+'설정'!$C$14*'설정'!$E$37,1)/$D26)^(-'설정'!$C$7))&gt;('설정'!$C$4+'설정'!$F$37),"실패",ROUND($E26*'설정'!$C$5*IF(('설정'!$C$37*IF($A26&gt;=31,1+'설정'!$C$14*'설정'!$E$37,1)/$D26)&lt;1,('설정'!$C$37*IF($A26&gt;=31,1+'설정'!$C$14*'설정'!$E$37,1)/$D26)^(-'설정'!$C$6),('설정'!$C$37*IF($A26&gt;=31,1+'설정'!$C$14*'설정'!$E$37,1)/$D26)^(-'설정'!$C$7)),0))</f>
        <v/>
      </c>
    </row>
    <row r="27">
      <c r="A27" t="n">
        <v>25</v>
      </c>
      <c r="B27" t="inlineStr">
        <is>
          <t>어려움</t>
        </is>
      </c>
      <c r="C27" t="inlineStr">
        <is>
          <t>보스</t>
        </is>
      </c>
      <c r="D27" s="6" t="n">
        <v>256000</v>
      </c>
      <c r="E27" t="n">
        <v>90</v>
      </c>
      <c r="F27" s="6" t="n">
        <v>5120</v>
      </c>
      <c r="G27" t="n">
        <v>20</v>
      </c>
      <c r="H27" s="8">
        <f>IF($E27*'설정'!$C$5*IF(('설정'!$C$22*IF($A27&gt;=31,1+'설정'!$C$14*'설정'!$E$22,1)/$D27)&lt;1,('설정'!$C$22*IF($A27&gt;=31,1+'설정'!$C$14*'설정'!$E$22,1)/$D27)^(-'설정'!$C$6),('설정'!$C$22*IF($A27&gt;=31,1+'설정'!$C$14*'설정'!$E$22,1)/$D27)^(-'설정'!$C$7))&gt;('설정'!$C$4+'설정'!$F$22+'설정'!$G$22),"실패",ROUND($E27*'설정'!$C$5*IF(('설정'!$C$22*IF($A27&gt;=31,1+'설정'!$C$14*'설정'!$E$22,1)/$D27)&lt;1,('설정'!$C$22*IF($A27&gt;=31,1+'설정'!$C$14*'설정'!$E$22,1)/$D27)^(-'설정'!$C$6),('설정'!$C$22*IF($A27&gt;=31,1+'설정'!$C$14*'설정'!$E$22,1)/$D27)^(-'설정'!$C$7)),0))</f>
        <v/>
      </c>
      <c r="I27" s="8">
        <f>IF($E27*'설정'!$C$5*IF(('설정'!$C$23*IF($A27&gt;=31,1+'설정'!$C$14*'설정'!$E$23,1)/$D27)&lt;1,('설정'!$C$23*IF($A27&gt;=31,1+'설정'!$C$14*'설정'!$E$23,1)/$D27)^(-'설정'!$C$6),('설정'!$C$23*IF($A27&gt;=31,1+'설정'!$C$14*'설정'!$E$23,1)/$D27)^(-'설정'!$C$7))&gt;('설정'!$C$4+'설정'!$F$23+'설정'!$G$23),"실패",ROUND($E27*'설정'!$C$5*IF(('설정'!$C$23*IF($A27&gt;=31,1+'설정'!$C$14*'설정'!$E$23,1)/$D27)&lt;1,('설정'!$C$23*IF($A27&gt;=31,1+'설정'!$C$14*'설정'!$E$23,1)/$D27)^(-'설정'!$C$6),('설정'!$C$23*IF($A27&gt;=31,1+'설정'!$C$14*'설정'!$E$23,1)/$D27)^(-'설정'!$C$7)),0))</f>
        <v/>
      </c>
      <c r="J27" s="8">
        <f>IF($E27*'설정'!$C$5*IF(('설정'!$C$24*IF($A27&gt;=31,1+'설정'!$C$14*'설정'!$E$24,1)/$D27)&lt;1,('설정'!$C$24*IF($A27&gt;=31,1+'설정'!$C$14*'설정'!$E$24,1)/$D27)^(-'설정'!$C$6),('설정'!$C$24*IF($A27&gt;=31,1+'설정'!$C$14*'설정'!$E$24,1)/$D27)^(-'설정'!$C$7))&gt;('설정'!$C$4+'설정'!$F$24+'설정'!$G$24),"실패",ROUND($E27*'설정'!$C$5*IF(('설정'!$C$24*IF($A27&gt;=31,1+'설정'!$C$14*'설정'!$E$24,1)/$D27)&lt;1,('설정'!$C$24*IF($A27&gt;=31,1+'설정'!$C$14*'설정'!$E$24,1)/$D27)^(-'설정'!$C$6),('설정'!$C$24*IF($A27&gt;=31,1+'설정'!$C$14*'설정'!$E$24,1)/$D27)^(-'설정'!$C$7)),0))</f>
        <v/>
      </c>
      <c r="K27" s="8">
        <f>IF($E27*'설정'!$C$5*IF(('설정'!$C$25*IF($A27&gt;=31,1+'설정'!$C$14*'설정'!$E$25,1)/$D27)&lt;1,('설정'!$C$25*IF($A27&gt;=31,1+'설정'!$C$14*'설정'!$E$25,1)/$D27)^(-'설정'!$C$6),('설정'!$C$25*IF($A27&gt;=31,1+'설정'!$C$14*'설정'!$E$25,1)/$D27)^(-'설정'!$C$7))&gt;('설정'!$C$4+'설정'!$F$25+'설정'!$G$25),"실패",ROUND($E27*'설정'!$C$5*IF(('설정'!$C$25*IF($A27&gt;=31,1+'설정'!$C$14*'설정'!$E$25,1)/$D27)&lt;1,('설정'!$C$25*IF($A27&gt;=31,1+'설정'!$C$14*'설정'!$E$25,1)/$D27)^(-'설정'!$C$6),('설정'!$C$25*IF($A27&gt;=31,1+'설정'!$C$14*'설정'!$E$25,1)/$D27)^(-'설정'!$C$7)),0))</f>
        <v/>
      </c>
      <c r="L27" s="8">
        <f>IF($E27*'설정'!$C$5*IF(('설정'!$C$26*IF($A27&gt;=31,1+'설정'!$C$14*'설정'!$E$26,1)/$D27)&lt;1,('설정'!$C$26*IF($A27&gt;=31,1+'설정'!$C$14*'설정'!$E$26,1)/$D27)^(-'설정'!$C$6),('설정'!$C$26*IF($A27&gt;=31,1+'설정'!$C$14*'설정'!$E$26,1)/$D27)^(-'설정'!$C$7))&gt;('설정'!$C$4+'설정'!$F$26+'설정'!$G$26),"실패",ROUND($E27*'설정'!$C$5*IF(('설정'!$C$26*IF($A27&gt;=31,1+'설정'!$C$14*'설정'!$E$26,1)/$D27)&lt;1,('설정'!$C$26*IF($A27&gt;=31,1+'설정'!$C$14*'설정'!$E$26,1)/$D27)^(-'설정'!$C$6),('설정'!$C$26*IF($A27&gt;=31,1+'설정'!$C$14*'설정'!$E$26,1)/$D27)^(-'설정'!$C$7)),0))</f>
        <v/>
      </c>
      <c r="M27" s="8">
        <f>IF($E27*'설정'!$C$5*IF(('설정'!$C$27*IF($A27&gt;=31,1+'설정'!$C$14*'설정'!$E$27,1)/$D27)&lt;1,('설정'!$C$27*IF($A27&gt;=31,1+'설정'!$C$14*'설정'!$E$27,1)/$D27)^(-'설정'!$C$6),('설정'!$C$27*IF($A27&gt;=31,1+'설정'!$C$14*'설정'!$E$27,1)/$D27)^(-'설정'!$C$7))&gt;('설정'!$C$4+'설정'!$F$27+'설정'!$G$27),"실패",ROUND($E27*'설정'!$C$5*IF(('설정'!$C$27*IF($A27&gt;=31,1+'설정'!$C$14*'설정'!$E$27,1)/$D27)&lt;1,('설정'!$C$27*IF($A27&gt;=31,1+'설정'!$C$14*'설정'!$E$27,1)/$D27)^(-'설정'!$C$6),('설정'!$C$27*IF($A27&gt;=31,1+'설정'!$C$14*'설정'!$E$27,1)/$D27)^(-'설정'!$C$7)),0))</f>
        <v/>
      </c>
      <c r="N27" s="8">
        <f>IF($E27*'설정'!$C$5*IF(('설정'!$C$28*IF($A27&gt;=31,1+'설정'!$C$14*'설정'!$E$28,1)/$D27)&lt;1,('설정'!$C$28*IF($A27&gt;=31,1+'설정'!$C$14*'설정'!$E$28,1)/$D27)^(-'설정'!$C$6),('설정'!$C$28*IF($A27&gt;=31,1+'설정'!$C$14*'설정'!$E$28,1)/$D27)^(-'설정'!$C$7))&gt;('설정'!$C$4+'설정'!$F$28+'설정'!$G$28),"실패",ROUND($E27*'설정'!$C$5*IF(('설정'!$C$28*IF($A27&gt;=31,1+'설정'!$C$14*'설정'!$E$28,1)/$D27)&lt;1,('설정'!$C$28*IF($A27&gt;=31,1+'설정'!$C$14*'설정'!$E$28,1)/$D27)^(-'설정'!$C$6),('설정'!$C$28*IF($A27&gt;=31,1+'설정'!$C$14*'설정'!$E$28,1)/$D27)^(-'설정'!$C$7)),0))</f>
        <v/>
      </c>
      <c r="O27" s="8">
        <f>IF($E27*'설정'!$C$5*IF(('설정'!$C$29*IF($A27&gt;=31,1+'설정'!$C$14*'설정'!$E$29,1)/$D27)&lt;1,('설정'!$C$29*IF($A27&gt;=31,1+'설정'!$C$14*'설정'!$E$29,1)/$D27)^(-'설정'!$C$6),('설정'!$C$29*IF($A27&gt;=31,1+'설정'!$C$14*'설정'!$E$29,1)/$D27)^(-'설정'!$C$7))&gt;('설정'!$C$4+'설정'!$F$29+'설정'!$G$29),"실패",ROUND($E27*'설정'!$C$5*IF(('설정'!$C$29*IF($A27&gt;=31,1+'설정'!$C$14*'설정'!$E$29,1)/$D27)&lt;1,('설정'!$C$29*IF($A27&gt;=31,1+'설정'!$C$14*'설정'!$E$29,1)/$D27)^(-'설정'!$C$6),('설정'!$C$29*IF($A27&gt;=31,1+'설정'!$C$14*'설정'!$E$29,1)/$D27)^(-'설정'!$C$7)),0))</f>
        <v/>
      </c>
      <c r="P27" s="8">
        <f>IF($E27*'설정'!$C$5*IF(('설정'!$C$30*IF($A27&gt;=31,1+'설정'!$C$14*'설정'!$E$30,1)/$D27)&lt;1,('설정'!$C$30*IF($A27&gt;=31,1+'설정'!$C$14*'설정'!$E$30,1)/$D27)^(-'설정'!$C$6),('설정'!$C$30*IF($A27&gt;=31,1+'설정'!$C$14*'설정'!$E$30,1)/$D27)^(-'설정'!$C$7))&gt;('설정'!$C$4+'설정'!$F$30+'설정'!$G$30),"실패",ROUND($E27*'설정'!$C$5*IF(('설정'!$C$30*IF($A27&gt;=31,1+'설정'!$C$14*'설정'!$E$30,1)/$D27)&lt;1,('설정'!$C$30*IF($A27&gt;=31,1+'설정'!$C$14*'설정'!$E$30,1)/$D27)^(-'설정'!$C$6),('설정'!$C$30*IF($A27&gt;=31,1+'설정'!$C$14*'설정'!$E$30,1)/$D27)^(-'설정'!$C$7)),0))</f>
        <v/>
      </c>
      <c r="Q27" s="8">
        <f>IF($E27*'설정'!$C$5*IF(('설정'!$C$31*IF($A27&gt;=31,1+'설정'!$C$14*'설정'!$E$31,1)/$D27)&lt;1,('설정'!$C$31*IF($A27&gt;=31,1+'설정'!$C$14*'설정'!$E$31,1)/$D27)^(-'설정'!$C$6),('설정'!$C$31*IF($A27&gt;=31,1+'설정'!$C$14*'설정'!$E$31,1)/$D27)^(-'설정'!$C$7))&gt;('설정'!$C$4+'설정'!$F$31+'설정'!$G$31),"실패",ROUND($E27*'설정'!$C$5*IF(('설정'!$C$31*IF($A27&gt;=31,1+'설정'!$C$14*'설정'!$E$31,1)/$D27)&lt;1,('설정'!$C$31*IF($A27&gt;=31,1+'설정'!$C$14*'설정'!$E$31,1)/$D27)^(-'설정'!$C$6),('설정'!$C$31*IF($A27&gt;=31,1+'설정'!$C$14*'설정'!$E$31,1)/$D27)^(-'설정'!$C$7)),0))</f>
        <v/>
      </c>
      <c r="R27" s="8">
        <f>IF($E27*'설정'!$C$5*IF(('설정'!$C$32*IF($A27&gt;=31,1+'설정'!$C$14*'설정'!$E$32,1)/$D27)&lt;1,('설정'!$C$32*IF($A27&gt;=31,1+'설정'!$C$14*'설정'!$E$32,1)/$D27)^(-'설정'!$C$6),('설정'!$C$32*IF($A27&gt;=31,1+'설정'!$C$14*'설정'!$E$32,1)/$D27)^(-'설정'!$C$7))&gt;('설정'!$C$4+'설정'!$F$32+'설정'!$G$32),"실패",ROUND($E27*'설정'!$C$5*IF(('설정'!$C$32*IF($A27&gt;=31,1+'설정'!$C$14*'설정'!$E$32,1)/$D27)&lt;1,('설정'!$C$32*IF($A27&gt;=31,1+'설정'!$C$14*'설정'!$E$32,1)/$D27)^(-'설정'!$C$6),('설정'!$C$32*IF($A27&gt;=31,1+'설정'!$C$14*'설정'!$E$32,1)/$D27)^(-'설정'!$C$7)),0))</f>
        <v/>
      </c>
      <c r="S27" s="8">
        <f>IF($E27*'설정'!$C$5*IF(('설정'!$C$33*IF($A27&gt;=31,1+'설정'!$C$14*'설정'!$E$33,1)/$D27)&lt;1,('설정'!$C$33*IF($A27&gt;=31,1+'설정'!$C$14*'설정'!$E$33,1)/$D27)^(-'설정'!$C$6),('설정'!$C$33*IF($A27&gt;=31,1+'설정'!$C$14*'설정'!$E$33,1)/$D27)^(-'설정'!$C$7))&gt;('설정'!$C$4+'설정'!$F$33+'설정'!$G$33),"실패",ROUND($E27*'설정'!$C$5*IF(('설정'!$C$33*IF($A27&gt;=31,1+'설정'!$C$14*'설정'!$E$33,1)/$D27)&lt;1,('설정'!$C$33*IF($A27&gt;=31,1+'설정'!$C$14*'설정'!$E$33,1)/$D27)^(-'설정'!$C$6),('설정'!$C$33*IF($A27&gt;=31,1+'설정'!$C$14*'설정'!$E$33,1)/$D27)^(-'설정'!$C$7)),0))</f>
        <v/>
      </c>
      <c r="T27" s="8">
        <f>IF($E27*'설정'!$C$5*IF(('설정'!$C$34*IF($A27&gt;=31,1+'설정'!$C$14*'설정'!$E$34,1)/$D27)&lt;1,('설정'!$C$34*IF($A27&gt;=31,1+'설정'!$C$14*'설정'!$E$34,1)/$D27)^(-'설정'!$C$6),('설정'!$C$34*IF($A27&gt;=31,1+'설정'!$C$14*'설정'!$E$34,1)/$D27)^(-'설정'!$C$7))&gt;('설정'!$C$4+'설정'!$F$34+'설정'!$G$34),"실패",ROUND($E27*'설정'!$C$5*IF(('설정'!$C$34*IF($A27&gt;=31,1+'설정'!$C$14*'설정'!$E$34,1)/$D27)&lt;1,('설정'!$C$34*IF($A27&gt;=31,1+'설정'!$C$14*'설정'!$E$34,1)/$D27)^(-'설정'!$C$6),('설정'!$C$34*IF($A27&gt;=31,1+'설정'!$C$14*'설정'!$E$34,1)/$D27)^(-'설정'!$C$7)),0))</f>
        <v/>
      </c>
      <c r="U27" s="8">
        <f>IF($E27*'설정'!$C$5*IF(('설정'!$C$35*IF($A27&gt;=31,1+'설정'!$C$14*'설정'!$E$35,1)/$D27)&lt;1,('설정'!$C$35*IF($A27&gt;=31,1+'설정'!$C$14*'설정'!$E$35,1)/$D27)^(-'설정'!$C$6),('설정'!$C$35*IF($A27&gt;=31,1+'설정'!$C$14*'설정'!$E$35,1)/$D27)^(-'설정'!$C$7))&gt;('설정'!$C$4+'설정'!$F$35+'설정'!$G$35),"실패",ROUND($E27*'설정'!$C$5*IF(('설정'!$C$35*IF($A27&gt;=31,1+'설정'!$C$14*'설정'!$E$35,1)/$D27)&lt;1,('설정'!$C$35*IF($A27&gt;=31,1+'설정'!$C$14*'설정'!$E$35,1)/$D27)^(-'설정'!$C$6),('설정'!$C$35*IF($A27&gt;=31,1+'설정'!$C$14*'설정'!$E$35,1)/$D27)^(-'설정'!$C$7)),0))</f>
        <v/>
      </c>
      <c r="V27" s="8">
        <f>IF($E27*'설정'!$C$5*IF(('설정'!$C$36*IF($A27&gt;=31,1+'설정'!$C$14*'설정'!$E$36,1)/$D27)&lt;1,('설정'!$C$36*IF($A27&gt;=31,1+'설정'!$C$14*'설정'!$E$36,1)/$D27)^(-'설정'!$C$6),('설정'!$C$36*IF($A27&gt;=31,1+'설정'!$C$14*'설정'!$E$36,1)/$D27)^(-'설정'!$C$7))&gt;('설정'!$C$4+'설정'!$F$36+'설정'!$G$36),"실패",ROUND($E27*'설정'!$C$5*IF(('설정'!$C$36*IF($A27&gt;=31,1+'설정'!$C$14*'설정'!$E$36,1)/$D27)&lt;1,('설정'!$C$36*IF($A27&gt;=31,1+'설정'!$C$14*'설정'!$E$36,1)/$D27)^(-'설정'!$C$6),('설정'!$C$36*IF($A27&gt;=31,1+'설정'!$C$14*'설정'!$E$36,1)/$D27)^(-'설정'!$C$7)),0))</f>
        <v/>
      </c>
      <c r="W27" s="8">
        <f>IF($E27*'설정'!$C$5*IF(('설정'!$C$37*IF($A27&gt;=31,1+'설정'!$C$14*'설정'!$E$37,1)/$D27)&lt;1,('설정'!$C$37*IF($A27&gt;=31,1+'설정'!$C$14*'설정'!$E$37,1)/$D27)^(-'설정'!$C$6),('설정'!$C$37*IF($A27&gt;=31,1+'설정'!$C$14*'설정'!$E$37,1)/$D27)^(-'설정'!$C$7))&gt;('설정'!$C$4+'설정'!$F$37+'설정'!$G$37),"실패",ROUND($E27*'설정'!$C$5*IF(('설정'!$C$37*IF($A27&gt;=31,1+'설정'!$C$14*'설정'!$E$37,1)/$D27)&lt;1,('설정'!$C$37*IF($A27&gt;=31,1+'설정'!$C$14*'설정'!$E$37,1)/$D27)^(-'설정'!$C$6),('설정'!$C$37*IF($A27&gt;=31,1+'설정'!$C$14*'설정'!$E$37,1)/$D27)^(-'설정'!$C$7)),0))</f>
        <v/>
      </c>
    </row>
    <row r="28">
      <c r="A28" t="n">
        <v>26</v>
      </c>
      <c r="B28" t="inlineStr">
        <is>
          <t>보통</t>
        </is>
      </c>
      <c r="C28" t="inlineStr"/>
      <c r="D28" s="6" t="n">
        <v>228000</v>
      </c>
      <c r="E28" t="n">
        <v>72</v>
      </c>
      <c r="F28" s="6" t="n">
        <v>4560</v>
      </c>
      <c r="G28" t="n">
        <v>20</v>
      </c>
      <c r="H28" s="8">
        <f>IF($E28*'설정'!$C$5*IF(('설정'!$C$22*IF($A28&gt;=31,1+'설정'!$C$14*'설정'!$E$22,1)/$D28)&lt;1,('설정'!$C$22*IF($A28&gt;=31,1+'설정'!$C$14*'설정'!$E$22,1)/$D28)^(-'설정'!$C$6),('설정'!$C$22*IF($A28&gt;=31,1+'설정'!$C$14*'설정'!$E$22,1)/$D28)^(-'설정'!$C$7))&gt;('설정'!$C$4+'설정'!$F$22),"실패",ROUND($E28*'설정'!$C$5*IF(('설정'!$C$22*IF($A28&gt;=31,1+'설정'!$C$14*'설정'!$E$22,1)/$D28)&lt;1,('설정'!$C$22*IF($A28&gt;=31,1+'설정'!$C$14*'설정'!$E$22,1)/$D28)^(-'설정'!$C$6),('설정'!$C$22*IF($A28&gt;=31,1+'설정'!$C$14*'설정'!$E$22,1)/$D28)^(-'설정'!$C$7)),0))</f>
        <v/>
      </c>
      <c r="I28" s="8">
        <f>IF($E28*'설정'!$C$5*IF(('설정'!$C$23*IF($A28&gt;=31,1+'설정'!$C$14*'설정'!$E$23,1)/$D28)&lt;1,('설정'!$C$23*IF($A28&gt;=31,1+'설정'!$C$14*'설정'!$E$23,1)/$D28)^(-'설정'!$C$6),('설정'!$C$23*IF($A28&gt;=31,1+'설정'!$C$14*'설정'!$E$23,1)/$D28)^(-'설정'!$C$7))&gt;('설정'!$C$4+'설정'!$F$23),"실패",ROUND($E28*'설정'!$C$5*IF(('설정'!$C$23*IF($A28&gt;=31,1+'설정'!$C$14*'설정'!$E$23,1)/$D28)&lt;1,('설정'!$C$23*IF($A28&gt;=31,1+'설정'!$C$14*'설정'!$E$23,1)/$D28)^(-'설정'!$C$6),('설정'!$C$23*IF($A28&gt;=31,1+'설정'!$C$14*'설정'!$E$23,1)/$D28)^(-'설정'!$C$7)),0))</f>
        <v/>
      </c>
      <c r="J28" s="8">
        <f>IF($E28*'설정'!$C$5*IF(('설정'!$C$24*IF($A28&gt;=31,1+'설정'!$C$14*'설정'!$E$24,1)/$D28)&lt;1,('설정'!$C$24*IF($A28&gt;=31,1+'설정'!$C$14*'설정'!$E$24,1)/$D28)^(-'설정'!$C$6),('설정'!$C$24*IF($A28&gt;=31,1+'설정'!$C$14*'설정'!$E$24,1)/$D28)^(-'설정'!$C$7))&gt;('설정'!$C$4+'설정'!$F$24),"실패",ROUND($E28*'설정'!$C$5*IF(('설정'!$C$24*IF($A28&gt;=31,1+'설정'!$C$14*'설정'!$E$24,1)/$D28)&lt;1,('설정'!$C$24*IF($A28&gt;=31,1+'설정'!$C$14*'설정'!$E$24,1)/$D28)^(-'설정'!$C$6),('설정'!$C$24*IF($A28&gt;=31,1+'설정'!$C$14*'설정'!$E$24,1)/$D28)^(-'설정'!$C$7)),0))</f>
        <v/>
      </c>
      <c r="K28" s="8">
        <f>IF($E28*'설정'!$C$5*IF(('설정'!$C$25*IF($A28&gt;=31,1+'설정'!$C$14*'설정'!$E$25,1)/$D28)&lt;1,('설정'!$C$25*IF($A28&gt;=31,1+'설정'!$C$14*'설정'!$E$25,1)/$D28)^(-'설정'!$C$6),('설정'!$C$25*IF($A28&gt;=31,1+'설정'!$C$14*'설정'!$E$25,1)/$D28)^(-'설정'!$C$7))&gt;('설정'!$C$4+'설정'!$F$25),"실패",ROUND($E28*'설정'!$C$5*IF(('설정'!$C$25*IF($A28&gt;=31,1+'설정'!$C$14*'설정'!$E$25,1)/$D28)&lt;1,('설정'!$C$25*IF($A28&gt;=31,1+'설정'!$C$14*'설정'!$E$25,1)/$D28)^(-'설정'!$C$6),('설정'!$C$25*IF($A28&gt;=31,1+'설정'!$C$14*'설정'!$E$25,1)/$D28)^(-'설정'!$C$7)),0))</f>
        <v/>
      </c>
      <c r="L28" s="8">
        <f>IF($E28*'설정'!$C$5*IF(('설정'!$C$26*IF($A28&gt;=31,1+'설정'!$C$14*'설정'!$E$26,1)/$D28)&lt;1,('설정'!$C$26*IF($A28&gt;=31,1+'설정'!$C$14*'설정'!$E$26,1)/$D28)^(-'설정'!$C$6),('설정'!$C$26*IF($A28&gt;=31,1+'설정'!$C$14*'설정'!$E$26,1)/$D28)^(-'설정'!$C$7))&gt;('설정'!$C$4+'설정'!$F$26),"실패",ROUND($E28*'설정'!$C$5*IF(('설정'!$C$26*IF($A28&gt;=31,1+'설정'!$C$14*'설정'!$E$26,1)/$D28)&lt;1,('설정'!$C$26*IF($A28&gt;=31,1+'설정'!$C$14*'설정'!$E$26,1)/$D28)^(-'설정'!$C$6),('설정'!$C$26*IF($A28&gt;=31,1+'설정'!$C$14*'설정'!$E$26,1)/$D28)^(-'설정'!$C$7)),0))</f>
        <v/>
      </c>
      <c r="M28" s="8">
        <f>IF($E28*'설정'!$C$5*IF(('설정'!$C$27*IF($A28&gt;=31,1+'설정'!$C$14*'설정'!$E$27,1)/$D28)&lt;1,('설정'!$C$27*IF($A28&gt;=31,1+'설정'!$C$14*'설정'!$E$27,1)/$D28)^(-'설정'!$C$6),('설정'!$C$27*IF($A28&gt;=31,1+'설정'!$C$14*'설정'!$E$27,1)/$D28)^(-'설정'!$C$7))&gt;('설정'!$C$4+'설정'!$F$27),"실패",ROUND($E28*'설정'!$C$5*IF(('설정'!$C$27*IF($A28&gt;=31,1+'설정'!$C$14*'설정'!$E$27,1)/$D28)&lt;1,('설정'!$C$27*IF($A28&gt;=31,1+'설정'!$C$14*'설정'!$E$27,1)/$D28)^(-'설정'!$C$6),('설정'!$C$27*IF($A28&gt;=31,1+'설정'!$C$14*'설정'!$E$27,1)/$D28)^(-'설정'!$C$7)),0))</f>
        <v/>
      </c>
      <c r="N28" s="8">
        <f>IF($E28*'설정'!$C$5*IF(('설정'!$C$28*IF($A28&gt;=31,1+'설정'!$C$14*'설정'!$E$28,1)/$D28)&lt;1,('설정'!$C$28*IF($A28&gt;=31,1+'설정'!$C$14*'설정'!$E$28,1)/$D28)^(-'설정'!$C$6),('설정'!$C$28*IF($A28&gt;=31,1+'설정'!$C$14*'설정'!$E$28,1)/$D28)^(-'설정'!$C$7))&gt;('설정'!$C$4+'설정'!$F$28),"실패",ROUND($E28*'설정'!$C$5*IF(('설정'!$C$28*IF($A28&gt;=31,1+'설정'!$C$14*'설정'!$E$28,1)/$D28)&lt;1,('설정'!$C$28*IF($A28&gt;=31,1+'설정'!$C$14*'설정'!$E$28,1)/$D28)^(-'설정'!$C$6),('설정'!$C$28*IF($A28&gt;=31,1+'설정'!$C$14*'설정'!$E$28,1)/$D28)^(-'설정'!$C$7)),0))</f>
        <v/>
      </c>
      <c r="O28" s="8">
        <f>IF($E28*'설정'!$C$5*IF(('설정'!$C$29*IF($A28&gt;=31,1+'설정'!$C$14*'설정'!$E$29,1)/$D28)&lt;1,('설정'!$C$29*IF($A28&gt;=31,1+'설정'!$C$14*'설정'!$E$29,1)/$D28)^(-'설정'!$C$6),('설정'!$C$29*IF($A28&gt;=31,1+'설정'!$C$14*'설정'!$E$29,1)/$D28)^(-'설정'!$C$7))&gt;('설정'!$C$4+'설정'!$F$29),"실패",ROUND($E28*'설정'!$C$5*IF(('설정'!$C$29*IF($A28&gt;=31,1+'설정'!$C$14*'설정'!$E$29,1)/$D28)&lt;1,('설정'!$C$29*IF($A28&gt;=31,1+'설정'!$C$14*'설정'!$E$29,1)/$D28)^(-'설정'!$C$6),('설정'!$C$29*IF($A28&gt;=31,1+'설정'!$C$14*'설정'!$E$29,1)/$D28)^(-'설정'!$C$7)),0))</f>
        <v/>
      </c>
      <c r="P28" s="8">
        <f>IF($E28*'설정'!$C$5*IF(('설정'!$C$30*IF($A28&gt;=31,1+'설정'!$C$14*'설정'!$E$30,1)/$D28)&lt;1,('설정'!$C$30*IF($A28&gt;=31,1+'설정'!$C$14*'설정'!$E$30,1)/$D28)^(-'설정'!$C$6),('설정'!$C$30*IF($A28&gt;=31,1+'설정'!$C$14*'설정'!$E$30,1)/$D28)^(-'설정'!$C$7))&gt;('설정'!$C$4+'설정'!$F$30),"실패",ROUND($E28*'설정'!$C$5*IF(('설정'!$C$30*IF($A28&gt;=31,1+'설정'!$C$14*'설정'!$E$30,1)/$D28)&lt;1,('설정'!$C$30*IF($A28&gt;=31,1+'설정'!$C$14*'설정'!$E$30,1)/$D28)^(-'설정'!$C$6),('설정'!$C$30*IF($A28&gt;=31,1+'설정'!$C$14*'설정'!$E$30,1)/$D28)^(-'설정'!$C$7)),0))</f>
        <v/>
      </c>
      <c r="Q28" s="8">
        <f>IF($E28*'설정'!$C$5*IF(('설정'!$C$31*IF($A28&gt;=31,1+'설정'!$C$14*'설정'!$E$31,1)/$D28)&lt;1,('설정'!$C$31*IF($A28&gt;=31,1+'설정'!$C$14*'설정'!$E$31,1)/$D28)^(-'설정'!$C$6),('설정'!$C$31*IF($A28&gt;=31,1+'설정'!$C$14*'설정'!$E$31,1)/$D28)^(-'설정'!$C$7))&gt;('설정'!$C$4+'설정'!$F$31),"실패",ROUND($E28*'설정'!$C$5*IF(('설정'!$C$31*IF($A28&gt;=31,1+'설정'!$C$14*'설정'!$E$31,1)/$D28)&lt;1,('설정'!$C$31*IF($A28&gt;=31,1+'설정'!$C$14*'설정'!$E$31,1)/$D28)^(-'설정'!$C$6),('설정'!$C$31*IF($A28&gt;=31,1+'설정'!$C$14*'설정'!$E$31,1)/$D28)^(-'설정'!$C$7)),0))</f>
        <v/>
      </c>
      <c r="R28" s="8">
        <f>IF($E28*'설정'!$C$5*IF(('설정'!$C$32*IF($A28&gt;=31,1+'설정'!$C$14*'설정'!$E$32,1)/$D28)&lt;1,('설정'!$C$32*IF($A28&gt;=31,1+'설정'!$C$14*'설정'!$E$32,1)/$D28)^(-'설정'!$C$6),('설정'!$C$32*IF($A28&gt;=31,1+'설정'!$C$14*'설정'!$E$32,1)/$D28)^(-'설정'!$C$7))&gt;('설정'!$C$4+'설정'!$F$32),"실패",ROUND($E28*'설정'!$C$5*IF(('설정'!$C$32*IF($A28&gt;=31,1+'설정'!$C$14*'설정'!$E$32,1)/$D28)&lt;1,('설정'!$C$32*IF($A28&gt;=31,1+'설정'!$C$14*'설정'!$E$32,1)/$D28)^(-'설정'!$C$6),('설정'!$C$32*IF($A28&gt;=31,1+'설정'!$C$14*'설정'!$E$32,1)/$D28)^(-'설정'!$C$7)),0))</f>
        <v/>
      </c>
      <c r="S28" s="8">
        <f>IF($E28*'설정'!$C$5*IF(('설정'!$C$33*IF($A28&gt;=31,1+'설정'!$C$14*'설정'!$E$33,1)/$D28)&lt;1,('설정'!$C$33*IF($A28&gt;=31,1+'설정'!$C$14*'설정'!$E$33,1)/$D28)^(-'설정'!$C$6),('설정'!$C$33*IF($A28&gt;=31,1+'설정'!$C$14*'설정'!$E$33,1)/$D28)^(-'설정'!$C$7))&gt;('설정'!$C$4+'설정'!$F$33),"실패",ROUND($E28*'설정'!$C$5*IF(('설정'!$C$33*IF($A28&gt;=31,1+'설정'!$C$14*'설정'!$E$33,1)/$D28)&lt;1,('설정'!$C$33*IF($A28&gt;=31,1+'설정'!$C$14*'설정'!$E$33,1)/$D28)^(-'설정'!$C$6),('설정'!$C$33*IF($A28&gt;=31,1+'설정'!$C$14*'설정'!$E$33,1)/$D28)^(-'설정'!$C$7)),0))</f>
        <v/>
      </c>
      <c r="T28" s="8">
        <f>IF($E28*'설정'!$C$5*IF(('설정'!$C$34*IF($A28&gt;=31,1+'설정'!$C$14*'설정'!$E$34,1)/$D28)&lt;1,('설정'!$C$34*IF($A28&gt;=31,1+'설정'!$C$14*'설정'!$E$34,1)/$D28)^(-'설정'!$C$6),('설정'!$C$34*IF($A28&gt;=31,1+'설정'!$C$14*'설정'!$E$34,1)/$D28)^(-'설정'!$C$7))&gt;('설정'!$C$4+'설정'!$F$34),"실패",ROUND($E28*'설정'!$C$5*IF(('설정'!$C$34*IF($A28&gt;=31,1+'설정'!$C$14*'설정'!$E$34,1)/$D28)&lt;1,('설정'!$C$34*IF($A28&gt;=31,1+'설정'!$C$14*'설정'!$E$34,1)/$D28)^(-'설정'!$C$6),('설정'!$C$34*IF($A28&gt;=31,1+'설정'!$C$14*'설정'!$E$34,1)/$D28)^(-'설정'!$C$7)),0))</f>
        <v/>
      </c>
      <c r="U28" s="8">
        <f>IF($E28*'설정'!$C$5*IF(('설정'!$C$35*IF($A28&gt;=31,1+'설정'!$C$14*'설정'!$E$35,1)/$D28)&lt;1,('설정'!$C$35*IF($A28&gt;=31,1+'설정'!$C$14*'설정'!$E$35,1)/$D28)^(-'설정'!$C$6),('설정'!$C$35*IF($A28&gt;=31,1+'설정'!$C$14*'설정'!$E$35,1)/$D28)^(-'설정'!$C$7))&gt;('설정'!$C$4+'설정'!$F$35),"실패",ROUND($E28*'설정'!$C$5*IF(('설정'!$C$35*IF($A28&gt;=31,1+'설정'!$C$14*'설정'!$E$35,1)/$D28)&lt;1,('설정'!$C$35*IF($A28&gt;=31,1+'설정'!$C$14*'설정'!$E$35,1)/$D28)^(-'설정'!$C$6),('설정'!$C$35*IF($A28&gt;=31,1+'설정'!$C$14*'설정'!$E$35,1)/$D28)^(-'설정'!$C$7)),0))</f>
        <v/>
      </c>
      <c r="V28" s="8">
        <f>IF($E28*'설정'!$C$5*IF(('설정'!$C$36*IF($A28&gt;=31,1+'설정'!$C$14*'설정'!$E$36,1)/$D28)&lt;1,('설정'!$C$36*IF($A28&gt;=31,1+'설정'!$C$14*'설정'!$E$36,1)/$D28)^(-'설정'!$C$6),('설정'!$C$36*IF($A28&gt;=31,1+'설정'!$C$14*'설정'!$E$36,1)/$D28)^(-'설정'!$C$7))&gt;('설정'!$C$4+'설정'!$F$36),"실패",ROUND($E28*'설정'!$C$5*IF(('설정'!$C$36*IF($A28&gt;=31,1+'설정'!$C$14*'설정'!$E$36,1)/$D28)&lt;1,('설정'!$C$36*IF($A28&gt;=31,1+'설정'!$C$14*'설정'!$E$36,1)/$D28)^(-'설정'!$C$6),('설정'!$C$36*IF($A28&gt;=31,1+'설정'!$C$14*'설정'!$E$36,1)/$D28)^(-'설정'!$C$7)),0))</f>
        <v/>
      </c>
      <c r="W28" s="8">
        <f>IF($E28*'설정'!$C$5*IF(('설정'!$C$37*IF($A28&gt;=31,1+'설정'!$C$14*'설정'!$E$37,1)/$D28)&lt;1,('설정'!$C$37*IF($A28&gt;=31,1+'설정'!$C$14*'설정'!$E$37,1)/$D28)^(-'설정'!$C$6),('설정'!$C$37*IF($A28&gt;=31,1+'설정'!$C$14*'설정'!$E$37,1)/$D28)^(-'설정'!$C$7))&gt;('설정'!$C$4+'설정'!$F$37),"실패",ROUND($E28*'설정'!$C$5*IF(('설정'!$C$37*IF($A28&gt;=31,1+'설정'!$C$14*'설정'!$E$37,1)/$D28)&lt;1,('설정'!$C$37*IF($A28&gt;=31,1+'설정'!$C$14*'설정'!$E$37,1)/$D28)^(-'설정'!$C$6),('설정'!$C$37*IF($A28&gt;=31,1+'설정'!$C$14*'설정'!$E$37,1)/$D28)^(-'설정'!$C$7)),0))</f>
        <v/>
      </c>
    </row>
    <row r="29">
      <c r="A29" t="n">
        <v>27</v>
      </c>
      <c r="B29" t="inlineStr">
        <is>
          <t>보통</t>
        </is>
      </c>
      <c r="C29" t="inlineStr"/>
      <c r="D29" s="6" t="n">
        <v>233000</v>
      </c>
      <c r="E29" t="n">
        <v>72</v>
      </c>
      <c r="F29" s="6" t="n">
        <v>4670</v>
      </c>
      <c r="G29" t="n">
        <v>20</v>
      </c>
      <c r="H29" s="8">
        <f>IF($E29*'설정'!$C$5*IF(('설정'!$C$22*IF($A29&gt;=31,1+'설정'!$C$14*'설정'!$E$22,1)/$D29)&lt;1,('설정'!$C$22*IF($A29&gt;=31,1+'설정'!$C$14*'설정'!$E$22,1)/$D29)^(-'설정'!$C$6),('설정'!$C$22*IF($A29&gt;=31,1+'설정'!$C$14*'설정'!$E$22,1)/$D29)^(-'설정'!$C$7))&gt;('설정'!$C$4+'설정'!$F$22),"실패",ROUND($E29*'설정'!$C$5*IF(('설정'!$C$22*IF($A29&gt;=31,1+'설정'!$C$14*'설정'!$E$22,1)/$D29)&lt;1,('설정'!$C$22*IF($A29&gt;=31,1+'설정'!$C$14*'설정'!$E$22,1)/$D29)^(-'설정'!$C$6),('설정'!$C$22*IF($A29&gt;=31,1+'설정'!$C$14*'설정'!$E$22,1)/$D29)^(-'설정'!$C$7)),0))</f>
        <v/>
      </c>
      <c r="I29" s="8">
        <f>IF($E29*'설정'!$C$5*IF(('설정'!$C$23*IF($A29&gt;=31,1+'설정'!$C$14*'설정'!$E$23,1)/$D29)&lt;1,('설정'!$C$23*IF($A29&gt;=31,1+'설정'!$C$14*'설정'!$E$23,1)/$D29)^(-'설정'!$C$6),('설정'!$C$23*IF($A29&gt;=31,1+'설정'!$C$14*'설정'!$E$23,1)/$D29)^(-'설정'!$C$7))&gt;('설정'!$C$4+'설정'!$F$23),"실패",ROUND($E29*'설정'!$C$5*IF(('설정'!$C$23*IF($A29&gt;=31,1+'설정'!$C$14*'설정'!$E$23,1)/$D29)&lt;1,('설정'!$C$23*IF($A29&gt;=31,1+'설정'!$C$14*'설정'!$E$23,1)/$D29)^(-'설정'!$C$6),('설정'!$C$23*IF($A29&gt;=31,1+'설정'!$C$14*'설정'!$E$23,1)/$D29)^(-'설정'!$C$7)),0))</f>
        <v/>
      </c>
      <c r="J29" s="8">
        <f>IF($E29*'설정'!$C$5*IF(('설정'!$C$24*IF($A29&gt;=31,1+'설정'!$C$14*'설정'!$E$24,1)/$D29)&lt;1,('설정'!$C$24*IF($A29&gt;=31,1+'설정'!$C$14*'설정'!$E$24,1)/$D29)^(-'설정'!$C$6),('설정'!$C$24*IF($A29&gt;=31,1+'설정'!$C$14*'설정'!$E$24,1)/$D29)^(-'설정'!$C$7))&gt;('설정'!$C$4+'설정'!$F$24),"실패",ROUND($E29*'설정'!$C$5*IF(('설정'!$C$24*IF($A29&gt;=31,1+'설정'!$C$14*'설정'!$E$24,1)/$D29)&lt;1,('설정'!$C$24*IF($A29&gt;=31,1+'설정'!$C$14*'설정'!$E$24,1)/$D29)^(-'설정'!$C$6),('설정'!$C$24*IF($A29&gt;=31,1+'설정'!$C$14*'설정'!$E$24,1)/$D29)^(-'설정'!$C$7)),0))</f>
        <v/>
      </c>
      <c r="K29" s="8">
        <f>IF($E29*'설정'!$C$5*IF(('설정'!$C$25*IF($A29&gt;=31,1+'설정'!$C$14*'설정'!$E$25,1)/$D29)&lt;1,('설정'!$C$25*IF($A29&gt;=31,1+'설정'!$C$14*'설정'!$E$25,1)/$D29)^(-'설정'!$C$6),('설정'!$C$25*IF($A29&gt;=31,1+'설정'!$C$14*'설정'!$E$25,1)/$D29)^(-'설정'!$C$7))&gt;('설정'!$C$4+'설정'!$F$25),"실패",ROUND($E29*'설정'!$C$5*IF(('설정'!$C$25*IF($A29&gt;=31,1+'설정'!$C$14*'설정'!$E$25,1)/$D29)&lt;1,('설정'!$C$25*IF($A29&gt;=31,1+'설정'!$C$14*'설정'!$E$25,1)/$D29)^(-'설정'!$C$6),('설정'!$C$25*IF($A29&gt;=31,1+'설정'!$C$14*'설정'!$E$25,1)/$D29)^(-'설정'!$C$7)),0))</f>
        <v/>
      </c>
      <c r="L29" s="8">
        <f>IF($E29*'설정'!$C$5*IF(('설정'!$C$26*IF($A29&gt;=31,1+'설정'!$C$14*'설정'!$E$26,1)/$D29)&lt;1,('설정'!$C$26*IF($A29&gt;=31,1+'설정'!$C$14*'설정'!$E$26,1)/$D29)^(-'설정'!$C$6),('설정'!$C$26*IF($A29&gt;=31,1+'설정'!$C$14*'설정'!$E$26,1)/$D29)^(-'설정'!$C$7))&gt;('설정'!$C$4+'설정'!$F$26),"실패",ROUND($E29*'설정'!$C$5*IF(('설정'!$C$26*IF($A29&gt;=31,1+'설정'!$C$14*'설정'!$E$26,1)/$D29)&lt;1,('설정'!$C$26*IF($A29&gt;=31,1+'설정'!$C$14*'설정'!$E$26,1)/$D29)^(-'설정'!$C$6),('설정'!$C$26*IF($A29&gt;=31,1+'설정'!$C$14*'설정'!$E$26,1)/$D29)^(-'설정'!$C$7)),0))</f>
        <v/>
      </c>
      <c r="M29" s="8">
        <f>IF($E29*'설정'!$C$5*IF(('설정'!$C$27*IF($A29&gt;=31,1+'설정'!$C$14*'설정'!$E$27,1)/$D29)&lt;1,('설정'!$C$27*IF($A29&gt;=31,1+'설정'!$C$14*'설정'!$E$27,1)/$D29)^(-'설정'!$C$6),('설정'!$C$27*IF($A29&gt;=31,1+'설정'!$C$14*'설정'!$E$27,1)/$D29)^(-'설정'!$C$7))&gt;('설정'!$C$4+'설정'!$F$27),"실패",ROUND($E29*'설정'!$C$5*IF(('설정'!$C$27*IF($A29&gt;=31,1+'설정'!$C$14*'설정'!$E$27,1)/$D29)&lt;1,('설정'!$C$27*IF($A29&gt;=31,1+'설정'!$C$14*'설정'!$E$27,1)/$D29)^(-'설정'!$C$6),('설정'!$C$27*IF($A29&gt;=31,1+'설정'!$C$14*'설정'!$E$27,1)/$D29)^(-'설정'!$C$7)),0))</f>
        <v/>
      </c>
      <c r="N29" s="8">
        <f>IF($E29*'설정'!$C$5*IF(('설정'!$C$28*IF($A29&gt;=31,1+'설정'!$C$14*'설정'!$E$28,1)/$D29)&lt;1,('설정'!$C$28*IF($A29&gt;=31,1+'설정'!$C$14*'설정'!$E$28,1)/$D29)^(-'설정'!$C$6),('설정'!$C$28*IF($A29&gt;=31,1+'설정'!$C$14*'설정'!$E$28,1)/$D29)^(-'설정'!$C$7))&gt;('설정'!$C$4+'설정'!$F$28),"실패",ROUND($E29*'설정'!$C$5*IF(('설정'!$C$28*IF($A29&gt;=31,1+'설정'!$C$14*'설정'!$E$28,1)/$D29)&lt;1,('설정'!$C$28*IF($A29&gt;=31,1+'설정'!$C$14*'설정'!$E$28,1)/$D29)^(-'설정'!$C$6),('설정'!$C$28*IF($A29&gt;=31,1+'설정'!$C$14*'설정'!$E$28,1)/$D29)^(-'설정'!$C$7)),0))</f>
        <v/>
      </c>
      <c r="O29" s="8">
        <f>IF($E29*'설정'!$C$5*IF(('설정'!$C$29*IF($A29&gt;=31,1+'설정'!$C$14*'설정'!$E$29,1)/$D29)&lt;1,('설정'!$C$29*IF($A29&gt;=31,1+'설정'!$C$14*'설정'!$E$29,1)/$D29)^(-'설정'!$C$6),('설정'!$C$29*IF($A29&gt;=31,1+'설정'!$C$14*'설정'!$E$29,1)/$D29)^(-'설정'!$C$7))&gt;('설정'!$C$4+'설정'!$F$29),"실패",ROUND($E29*'설정'!$C$5*IF(('설정'!$C$29*IF($A29&gt;=31,1+'설정'!$C$14*'설정'!$E$29,1)/$D29)&lt;1,('설정'!$C$29*IF($A29&gt;=31,1+'설정'!$C$14*'설정'!$E$29,1)/$D29)^(-'설정'!$C$6),('설정'!$C$29*IF($A29&gt;=31,1+'설정'!$C$14*'설정'!$E$29,1)/$D29)^(-'설정'!$C$7)),0))</f>
        <v/>
      </c>
      <c r="P29" s="8">
        <f>IF($E29*'설정'!$C$5*IF(('설정'!$C$30*IF($A29&gt;=31,1+'설정'!$C$14*'설정'!$E$30,1)/$D29)&lt;1,('설정'!$C$30*IF($A29&gt;=31,1+'설정'!$C$14*'설정'!$E$30,1)/$D29)^(-'설정'!$C$6),('설정'!$C$30*IF($A29&gt;=31,1+'설정'!$C$14*'설정'!$E$30,1)/$D29)^(-'설정'!$C$7))&gt;('설정'!$C$4+'설정'!$F$30),"실패",ROUND($E29*'설정'!$C$5*IF(('설정'!$C$30*IF($A29&gt;=31,1+'설정'!$C$14*'설정'!$E$30,1)/$D29)&lt;1,('설정'!$C$30*IF($A29&gt;=31,1+'설정'!$C$14*'설정'!$E$30,1)/$D29)^(-'설정'!$C$6),('설정'!$C$30*IF($A29&gt;=31,1+'설정'!$C$14*'설정'!$E$30,1)/$D29)^(-'설정'!$C$7)),0))</f>
        <v/>
      </c>
      <c r="Q29" s="8">
        <f>IF($E29*'설정'!$C$5*IF(('설정'!$C$31*IF($A29&gt;=31,1+'설정'!$C$14*'설정'!$E$31,1)/$D29)&lt;1,('설정'!$C$31*IF($A29&gt;=31,1+'설정'!$C$14*'설정'!$E$31,1)/$D29)^(-'설정'!$C$6),('설정'!$C$31*IF($A29&gt;=31,1+'설정'!$C$14*'설정'!$E$31,1)/$D29)^(-'설정'!$C$7))&gt;('설정'!$C$4+'설정'!$F$31),"실패",ROUND($E29*'설정'!$C$5*IF(('설정'!$C$31*IF($A29&gt;=31,1+'설정'!$C$14*'설정'!$E$31,1)/$D29)&lt;1,('설정'!$C$31*IF($A29&gt;=31,1+'설정'!$C$14*'설정'!$E$31,1)/$D29)^(-'설정'!$C$6),('설정'!$C$31*IF($A29&gt;=31,1+'설정'!$C$14*'설정'!$E$31,1)/$D29)^(-'설정'!$C$7)),0))</f>
        <v/>
      </c>
      <c r="R29" s="8">
        <f>IF($E29*'설정'!$C$5*IF(('설정'!$C$32*IF($A29&gt;=31,1+'설정'!$C$14*'설정'!$E$32,1)/$D29)&lt;1,('설정'!$C$32*IF($A29&gt;=31,1+'설정'!$C$14*'설정'!$E$32,1)/$D29)^(-'설정'!$C$6),('설정'!$C$32*IF($A29&gt;=31,1+'설정'!$C$14*'설정'!$E$32,1)/$D29)^(-'설정'!$C$7))&gt;('설정'!$C$4+'설정'!$F$32),"실패",ROUND($E29*'설정'!$C$5*IF(('설정'!$C$32*IF($A29&gt;=31,1+'설정'!$C$14*'설정'!$E$32,1)/$D29)&lt;1,('설정'!$C$32*IF($A29&gt;=31,1+'설정'!$C$14*'설정'!$E$32,1)/$D29)^(-'설정'!$C$6),('설정'!$C$32*IF($A29&gt;=31,1+'설정'!$C$14*'설정'!$E$32,1)/$D29)^(-'설정'!$C$7)),0))</f>
        <v/>
      </c>
      <c r="S29" s="8">
        <f>IF($E29*'설정'!$C$5*IF(('설정'!$C$33*IF($A29&gt;=31,1+'설정'!$C$14*'설정'!$E$33,1)/$D29)&lt;1,('설정'!$C$33*IF($A29&gt;=31,1+'설정'!$C$14*'설정'!$E$33,1)/$D29)^(-'설정'!$C$6),('설정'!$C$33*IF($A29&gt;=31,1+'설정'!$C$14*'설정'!$E$33,1)/$D29)^(-'설정'!$C$7))&gt;('설정'!$C$4+'설정'!$F$33),"실패",ROUND($E29*'설정'!$C$5*IF(('설정'!$C$33*IF($A29&gt;=31,1+'설정'!$C$14*'설정'!$E$33,1)/$D29)&lt;1,('설정'!$C$33*IF($A29&gt;=31,1+'설정'!$C$14*'설정'!$E$33,1)/$D29)^(-'설정'!$C$6),('설정'!$C$33*IF($A29&gt;=31,1+'설정'!$C$14*'설정'!$E$33,1)/$D29)^(-'설정'!$C$7)),0))</f>
        <v/>
      </c>
      <c r="T29" s="8">
        <f>IF($E29*'설정'!$C$5*IF(('설정'!$C$34*IF($A29&gt;=31,1+'설정'!$C$14*'설정'!$E$34,1)/$D29)&lt;1,('설정'!$C$34*IF($A29&gt;=31,1+'설정'!$C$14*'설정'!$E$34,1)/$D29)^(-'설정'!$C$6),('설정'!$C$34*IF($A29&gt;=31,1+'설정'!$C$14*'설정'!$E$34,1)/$D29)^(-'설정'!$C$7))&gt;('설정'!$C$4+'설정'!$F$34),"실패",ROUND($E29*'설정'!$C$5*IF(('설정'!$C$34*IF($A29&gt;=31,1+'설정'!$C$14*'설정'!$E$34,1)/$D29)&lt;1,('설정'!$C$34*IF($A29&gt;=31,1+'설정'!$C$14*'설정'!$E$34,1)/$D29)^(-'설정'!$C$6),('설정'!$C$34*IF($A29&gt;=31,1+'설정'!$C$14*'설정'!$E$34,1)/$D29)^(-'설정'!$C$7)),0))</f>
        <v/>
      </c>
      <c r="U29" s="8">
        <f>IF($E29*'설정'!$C$5*IF(('설정'!$C$35*IF($A29&gt;=31,1+'설정'!$C$14*'설정'!$E$35,1)/$D29)&lt;1,('설정'!$C$35*IF($A29&gt;=31,1+'설정'!$C$14*'설정'!$E$35,1)/$D29)^(-'설정'!$C$6),('설정'!$C$35*IF($A29&gt;=31,1+'설정'!$C$14*'설정'!$E$35,1)/$D29)^(-'설정'!$C$7))&gt;('설정'!$C$4+'설정'!$F$35),"실패",ROUND($E29*'설정'!$C$5*IF(('설정'!$C$35*IF($A29&gt;=31,1+'설정'!$C$14*'설정'!$E$35,1)/$D29)&lt;1,('설정'!$C$35*IF($A29&gt;=31,1+'설정'!$C$14*'설정'!$E$35,1)/$D29)^(-'설정'!$C$6),('설정'!$C$35*IF($A29&gt;=31,1+'설정'!$C$14*'설정'!$E$35,1)/$D29)^(-'설정'!$C$7)),0))</f>
        <v/>
      </c>
      <c r="V29" s="8">
        <f>IF($E29*'설정'!$C$5*IF(('설정'!$C$36*IF($A29&gt;=31,1+'설정'!$C$14*'설정'!$E$36,1)/$D29)&lt;1,('설정'!$C$36*IF($A29&gt;=31,1+'설정'!$C$14*'설정'!$E$36,1)/$D29)^(-'설정'!$C$6),('설정'!$C$36*IF($A29&gt;=31,1+'설정'!$C$14*'설정'!$E$36,1)/$D29)^(-'설정'!$C$7))&gt;('설정'!$C$4+'설정'!$F$36),"실패",ROUND($E29*'설정'!$C$5*IF(('설정'!$C$36*IF($A29&gt;=31,1+'설정'!$C$14*'설정'!$E$36,1)/$D29)&lt;1,('설정'!$C$36*IF($A29&gt;=31,1+'설정'!$C$14*'설정'!$E$36,1)/$D29)^(-'설정'!$C$6),('설정'!$C$36*IF($A29&gt;=31,1+'설정'!$C$14*'설정'!$E$36,1)/$D29)^(-'설정'!$C$7)),0))</f>
        <v/>
      </c>
      <c r="W29" s="8">
        <f>IF($E29*'설정'!$C$5*IF(('설정'!$C$37*IF($A29&gt;=31,1+'설정'!$C$14*'설정'!$E$37,1)/$D29)&lt;1,('설정'!$C$37*IF($A29&gt;=31,1+'설정'!$C$14*'설정'!$E$37,1)/$D29)^(-'설정'!$C$6),('설정'!$C$37*IF($A29&gt;=31,1+'설정'!$C$14*'설정'!$E$37,1)/$D29)^(-'설정'!$C$7))&gt;('설정'!$C$4+'설정'!$F$37),"실패",ROUND($E29*'설정'!$C$5*IF(('설정'!$C$37*IF($A29&gt;=31,1+'설정'!$C$14*'설정'!$E$37,1)/$D29)&lt;1,('설정'!$C$37*IF($A29&gt;=31,1+'설정'!$C$14*'설정'!$E$37,1)/$D29)^(-'설정'!$C$6),('설정'!$C$37*IF($A29&gt;=31,1+'설정'!$C$14*'설정'!$E$37,1)/$D29)^(-'설정'!$C$7)),0))</f>
        <v/>
      </c>
    </row>
    <row r="30">
      <c r="A30" t="n">
        <v>28</v>
      </c>
      <c r="B30" t="inlineStr">
        <is>
          <t>보통</t>
        </is>
      </c>
      <c r="C30" t="inlineStr"/>
      <c r="D30" s="6" t="n">
        <v>239000</v>
      </c>
      <c r="E30" t="n">
        <v>72</v>
      </c>
      <c r="F30" s="6" t="n">
        <v>4770</v>
      </c>
      <c r="G30" t="n">
        <v>20</v>
      </c>
      <c r="H30" s="8">
        <f>IF($E30*'설정'!$C$5*IF(('설정'!$C$22*IF($A30&gt;=31,1+'설정'!$C$14*'설정'!$E$22,1)/$D30)&lt;1,('설정'!$C$22*IF($A30&gt;=31,1+'설정'!$C$14*'설정'!$E$22,1)/$D30)^(-'설정'!$C$6),('설정'!$C$22*IF($A30&gt;=31,1+'설정'!$C$14*'설정'!$E$22,1)/$D30)^(-'설정'!$C$7))&gt;('설정'!$C$4+'설정'!$F$22),"실패",ROUND($E30*'설정'!$C$5*IF(('설정'!$C$22*IF($A30&gt;=31,1+'설정'!$C$14*'설정'!$E$22,1)/$D30)&lt;1,('설정'!$C$22*IF($A30&gt;=31,1+'설정'!$C$14*'설정'!$E$22,1)/$D30)^(-'설정'!$C$6),('설정'!$C$22*IF($A30&gt;=31,1+'설정'!$C$14*'설정'!$E$22,1)/$D30)^(-'설정'!$C$7)),0))</f>
        <v/>
      </c>
      <c r="I30" s="8">
        <f>IF($E30*'설정'!$C$5*IF(('설정'!$C$23*IF($A30&gt;=31,1+'설정'!$C$14*'설정'!$E$23,1)/$D30)&lt;1,('설정'!$C$23*IF($A30&gt;=31,1+'설정'!$C$14*'설정'!$E$23,1)/$D30)^(-'설정'!$C$6),('설정'!$C$23*IF($A30&gt;=31,1+'설정'!$C$14*'설정'!$E$23,1)/$D30)^(-'설정'!$C$7))&gt;('설정'!$C$4+'설정'!$F$23),"실패",ROUND($E30*'설정'!$C$5*IF(('설정'!$C$23*IF($A30&gt;=31,1+'설정'!$C$14*'설정'!$E$23,1)/$D30)&lt;1,('설정'!$C$23*IF($A30&gt;=31,1+'설정'!$C$14*'설정'!$E$23,1)/$D30)^(-'설정'!$C$6),('설정'!$C$23*IF($A30&gt;=31,1+'설정'!$C$14*'설정'!$E$23,1)/$D30)^(-'설정'!$C$7)),0))</f>
        <v/>
      </c>
      <c r="J30" s="8">
        <f>IF($E30*'설정'!$C$5*IF(('설정'!$C$24*IF($A30&gt;=31,1+'설정'!$C$14*'설정'!$E$24,1)/$D30)&lt;1,('설정'!$C$24*IF($A30&gt;=31,1+'설정'!$C$14*'설정'!$E$24,1)/$D30)^(-'설정'!$C$6),('설정'!$C$24*IF($A30&gt;=31,1+'설정'!$C$14*'설정'!$E$24,1)/$D30)^(-'설정'!$C$7))&gt;('설정'!$C$4+'설정'!$F$24),"실패",ROUND($E30*'설정'!$C$5*IF(('설정'!$C$24*IF($A30&gt;=31,1+'설정'!$C$14*'설정'!$E$24,1)/$D30)&lt;1,('설정'!$C$24*IF($A30&gt;=31,1+'설정'!$C$14*'설정'!$E$24,1)/$D30)^(-'설정'!$C$6),('설정'!$C$24*IF($A30&gt;=31,1+'설정'!$C$14*'설정'!$E$24,1)/$D30)^(-'설정'!$C$7)),0))</f>
        <v/>
      </c>
      <c r="K30" s="8">
        <f>IF($E30*'설정'!$C$5*IF(('설정'!$C$25*IF($A30&gt;=31,1+'설정'!$C$14*'설정'!$E$25,1)/$D30)&lt;1,('설정'!$C$25*IF($A30&gt;=31,1+'설정'!$C$14*'설정'!$E$25,1)/$D30)^(-'설정'!$C$6),('설정'!$C$25*IF($A30&gt;=31,1+'설정'!$C$14*'설정'!$E$25,1)/$D30)^(-'설정'!$C$7))&gt;('설정'!$C$4+'설정'!$F$25),"실패",ROUND($E30*'설정'!$C$5*IF(('설정'!$C$25*IF($A30&gt;=31,1+'설정'!$C$14*'설정'!$E$25,1)/$D30)&lt;1,('설정'!$C$25*IF($A30&gt;=31,1+'설정'!$C$14*'설정'!$E$25,1)/$D30)^(-'설정'!$C$6),('설정'!$C$25*IF($A30&gt;=31,1+'설정'!$C$14*'설정'!$E$25,1)/$D30)^(-'설정'!$C$7)),0))</f>
        <v/>
      </c>
      <c r="L30" s="8">
        <f>IF($E30*'설정'!$C$5*IF(('설정'!$C$26*IF($A30&gt;=31,1+'설정'!$C$14*'설정'!$E$26,1)/$D30)&lt;1,('설정'!$C$26*IF($A30&gt;=31,1+'설정'!$C$14*'설정'!$E$26,1)/$D30)^(-'설정'!$C$6),('설정'!$C$26*IF($A30&gt;=31,1+'설정'!$C$14*'설정'!$E$26,1)/$D30)^(-'설정'!$C$7))&gt;('설정'!$C$4+'설정'!$F$26),"실패",ROUND($E30*'설정'!$C$5*IF(('설정'!$C$26*IF($A30&gt;=31,1+'설정'!$C$14*'설정'!$E$26,1)/$D30)&lt;1,('설정'!$C$26*IF($A30&gt;=31,1+'설정'!$C$14*'설정'!$E$26,1)/$D30)^(-'설정'!$C$6),('설정'!$C$26*IF($A30&gt;=31,1+'설정'!$C$14*'설정'!$E$26,1)/$D30)^(-'설정'!$C$7)),0))</f>
        <v/>
      </c>
      <c r="M30" s="8">
        <f>IF($E30*'설정'!$C$5*IF(('설정'!$C$27*IF($A30&gt;=31,1+'설정'!$C$14*'설정'!$E$27,1)/$D30)&lt;1,('설정'!$C$27*IF($A30&gt;=31,1+'설정'!$C$14*'설정'!$E$27,1)/$D30)^(-'설정'!$C$6),('설정'!$C$27*IF($A30&gt;=31,1+'설정'!$C$14*'설정'!$E$27,1)/$D30)^(-'설정'!$C$7))&gt;('설정'!$C$4+'설정'!$F$27),"실패",ROUND($E30*'설정'!$C$5*IF(('설정'!$C$27*IF($A30&gt;=31,1+'설정'!$C$14*'설정'!$E$27,1)/$D30)&lt;1,('설정'!$C$27*IF($A30&gt;=31,1+'설정'!$C$14*'설정'!$E$27,1)/$D30)^(-'설정'!$C$6),('설정'!$C$27*IF($A30&gt;=31,1+'설정'!$C$14*'설정'!$E$27,1)/$D30)^(-'설정'!$C$7)),0))</f>
        <v/>
      </c>
      <c r="N30" s="8">
        <f>IF($E30*'설정'!$C$5*IF(('설정'!$C$28*IF($A30&gt;=31,1+'설정'!$C$14*'설정'!$E$28,1)/$D30)&lt;1,('설정'!$C$28*IF($A30&gt;=31,1+'설정'!$C$14*'설정'!$E$28,1)/$D30)^(-'설정'!$C$6),('설정'!$C$28*IF($A30&gt;=31,1+'설정'!$C$14*'설정'!$E$28,1)/$D30)^(-'설정'!$C$7))&gt;('설정'!$C$4+'설정'!$F$28),"실패",ROUND($E30*'설정'!$C$5*IF(('설정'!$C$28*IF($A30&gt;=31,1+'설정'!$C$14*'설정'!$E$28,1)/$D30)&lt;1,('설정'!$C$28*IF($A30&gt;=31,1+'설정'!$C$14*'설정'!$E$28,1)/$D30)^(-'설정'!$C$6),('설정'!$C$28*IF($A30&gt;=31,1+'설정'!$C$14*'설정'!$E$28,1)/$D30)^(-'설정'!$C$7)),0))</f>
        <v/>
      </c>
      <c r="O30" s="8">
        <f>IF($E30*'설정'!$C$5*IF(('설정'!$C$29*IF($A30&gt;=31,1+'설정'!$C$14*'설정'!$E$29,1)/$D30)&lt;1,('설정'!$C$29*IF($A30&gt;=31,1+'설정'!$C$14*'설정'!$E$29,1)/$D30)^(-'설정'!$C$6),('설정'!$C$29*IF($A30&gt;=31,1+'설정'!$C$14*'설정'!$E$29,1)/$D30)^(-'설정'!$C$7))&gt;('설정'!$C$4+'설정'!$F$29),"실패",ROUND($E30*'설정'!$C$5*IF(('설정'!$C$29*IF($A30&gt;=31,1+'설정'!$C$14*'설정'!$E$29,1)/$D30)&lt;1,('설정'!$C$29*IF($A30&gt;=31,1+'설정'!$C$14*'설정'!$E$29,1)/$D30)^(-'설정'!$C$6),('설정'!$C$29*IF($A30&gt;=31,1+'설정'!$C$14*'설정'!$E$29,1)/$D30)^(-'설정'!$C$7)),0))</f>
        <v/>
      </c>
      <c r="P30" s="8">
        <f>IF($E30*'설정'!$C$5*IF(('설정'!$C$30*IF($A30&gt;=31,1+'설정'!$C$14*'설정'!$E$30,1)/$D30)&lt;1,('설정'!$C$30*IF($A30&gt;=31,1+'설정'!$C$14*'설정'!$E$30,1)/$D30)^(-'설정'!$C$6),('설정'!$C$30*IF($A30&gt;=31,1+'설정'!$C$14*'설정'!$E$30,1)/$D30)^(-'설정'!$C$7))&gt;('설정'!$C$4+'설정'!$F$30),"실패",ROUND($E30*'설정'!$C$5*IF(('설정'!$C$30*IF($A30&gt;=31,1+'설정'!$C$14*'설정'!$E$30,1)/$D30)&lt;1,('설정'!$C$30*IF($A30&gt;=31,1+'설정'!$C$14*'설정'!$E$30,1)/$D30)^(-'설정'!$C$6),('설정'!$C$30*IF($A30&gt;=31,1+'설정'!$C$14*'설정'!$E$30,1)/$D30)^(-'설정'!$C$7)),0))</f>
        <v/>
      </c>
      <c r="Q30" s="8">
        <f>IF($E30*'설정'!$C$5*IF(('설정'!$C$31*IF($A30&gt;=31,1+'설정'!$C$14*'설정'!$E$31,1)/$D30)&lt;1,('설정'!$C$31*IF($A30&gt;=31,1+'설정'!$C$14*'설정'!$E$31,1)/$D30)^(-'설정'!$C$6),('설정'!$C$31*IF($A30&gt;=31,1+'설정'!$C$14*'설정'!$E$31,1)/$D30)^(-'설정'!$C$7))&gt;('설정'!$C$4+'설정'!$F$31),"실패",ROUND($E30*'설정'!$C$5*IF(('설정'!$C$31*IF($A30&gt;=31,1+'설정'!$C$14*'설정'!$E$31,1)/$D30)&lt;1,('설정'!$C$31*IF($A30&gt;=31,1+'설정'!$C$14*'설정'!$E$31,1)/$D30)^(-'설정'!$C$6),('설정'!$C$31*IF($A30&gt;=31,1+'설정'!$C$14*'설정'!$E$31,1)/$D30)^(-'설정'!$C$7)),0))</f>
        <v/>
      </c>
      <c r="R30" s="8">
        <f>IF($E30*'설정'!$C$5*IF(('설정'!$C$32*IF($A30&gt;=31,1+'설정'!$C$14*'설정'!$E$32,1)/$D30)&lt;1,('설정'!$C$32*IF($A30&gt;=31,1+'설정'!$C$14*'설정'!$E$32,1)/$D30)^(-'설정'!$C$6),('설정'!$C$32*IF($A30&gt;=31,1+'설정'!$C$14*'설정'!$E$32,1)/$D30)^(-'설정'!$C$7))&gt;('설정'!$C$4+'설정'!$F$32),"실패",ROUND($E30*'설정'!$C$5*IF(('설정'!$C$32*IF($A30&gt;=31,1+'설정'!$C$14*'설정'!$E$32,1)/$D30)&lt;1,('설정'!$C$32*IF($A30&gt;=31,1+'설정'!$C$14*'설정'!$E$32,1)/$D30)^(-'설정'!$C$6),('설정'!$C$32*IF($A30&gt;=31,1+'설정'!$C$14*'설정'!$E$32,1)/$D30)^(-'설정'!$C$7)),0))</f>
        <v/>
      </c>
      <c r="S30" s="8">
        <f>IF($E30*'설정'!$C$5*IF(('설정'!$C$33*IF($A30&gt;=31,1+'설정'!$C$14*'설정'!$E$33,1)/$D30)&lt;1,('설정'!$C$33*IF($A30&gt;=31,1+'설정'!$C$14*'설정'!$E$33,1)/$D30)^(-'설정'!$C$6),('설정'!$C$33*IF($A30&gt;=31,1+'설정'!$C$14*'설정'!$E$33,1)/$D30)^(-'설정'!$C$7))&gt;('설정'!$C$4+'설정'!$F$33),"실패",ROUND($E30*'설정'!$C$5*IF(('설정'!$C$33*IF($A30&gt;=31,1+'설정'!$C$14*'설정'!$E$33,1)/$D30)&lt;1,('설정'!$C$33*IF($A30&gt;=31,1+'설정'!$C$14*'설정'!$E$33,1)/$D30)^(-'설정'!$C$6),('설정'!$C$33*IF($A30&gt;=31,1+'설정'!$C$14*'설정'!$E$33,1)/$D30)^(-'설정'!$C$7)),0))</f>
        <v/>
      </c>
      <c r="T30" s="8">
        <f>IF($E30*'설정'!$C$5*IF(('설정'!$C$34*IF($A30&gt;=31,1+'설정'!$C$14*'설정'!$E$34,1)/$D30)&lt;1,('설정'!$C$34*IF($A30&gt;=31,1+'설정'!$C$14*'설정'!$E$34,1)/$D30)^(-'설정'!$C$6),('설정'!$C$34*IF($A30&gt;=31,1+'설정'!$C$14*'설정'!$E$34,1)/$D30)^(-'설정'!$C$7))&gt;('설정'!$C$4+'설정'!$F$34),"실패",ROUND($E30*'설정'!$C$5*IF(('설정'!$C$34*IF($A30&gt;=31,1+'설정'!$C$14*'설정'!$E$34,1)/$D30)&lt;1,('설정'!$C$34*IF($A30&gt;=31,1+'설정'!$C$14*'설정'!$E$34,1)/$D30)^(-'설정'!$C$6),('설정'!$C$34*IF($A30&gt;=31,1+'설정'!$C$14*'설정'!$E$34,1)/$D30)^(-'설정'!$C$7)),0))</f>
        <v/>
      </c>
      <c r="U30" s="8">
        <f>IF($E30*'설정'!$C$5*IF(('설정'!$C$35*IF($A30&gt;=31,1+'설정'!$C$14*'설정'!$E$35,1)/$D30)&lt;1,('설정'!$C$35*IF($A30&gt;=31,1+'설정'!$C$14*'설정'!$E$35,1)/$D30)^(-'설정'!$C$6),('설정'!$C$35*IF($A30&gt;=31,1+'설정'!$C$14*'설정'!$E$35,1)/$D30)^(-'설정'!$C$7))&gt;('설정'!$C$4+'설정'!$F$35),"실패",ROUND($E30*'설정'!$C$5*IF(('설정'!$C$35*IF($A30&gt;=31,1+'설정'!$C$14*'설정'!$E$35,1)/$D30)&lt;1,('설정'!$C$35*IF($A30&gt;=31,1+'설정'!$C$14*'설정'!$E$35,1)/$D30)^(-'설정'!$C$6),('설정'!$C$35*IF($A30&gt;=31,1+'설정'!$C$14*'설정'!$E$35,1)/$D30)^(-'설정'!$C$7)),0))</f>
        <v/>
      </c>
      <c r="V30" s="8">
        <f>IF($E30*'설정'!$C$5*IF(('설정'!$C$36*IF($A30&gt;=31,1+'설정'!$C$14*'설정'!$E$36,1)/$D30)&lt;1,('설정'!$C$36*IF($A30&gt;=31,1+'설정'!$C$14*'설정'!$E$36,1)/$D30)^(-'설정'!$C$6),('설정'!$C$36*IF($A30&gt;=31,1+'설정'!$C$14*'설정'!$E$36,1)/$D30)^(-'설정'!$C$7))&gt;('설정'!$C$4+'설정'!$F$36),"실패",ROUND($E30*'설정'!$C$5*IF(('설정'!$C$36*IF($A30&gt;=31,1+'설정'!$C$14*'설정'!$E$36,1)/$D30)&lt;1,('설정'!$C$36*IF($A30&gt;=31,1+'설정'!$C$14*'설정'!$E$36,1)/$D30)^(-'설정'!$C$6),('설정'!$C$36*IF($A30&gt;=31,1+'설정'!$C$14*'설정'!$E$36,1)/$D30)^(-'설정'!$C$7)),0))</f>
        <v/>
      </c>
      <c r="W30" s="8">
        <f>IF($E30*'설정'!$C$5*IF(('설정'!$C$37*IF($A30&gt;=31,1+'설정'!$C$14*'설정'!$E$37,1)/$D30)&lt;1,('설정'!$C$37*IF($A30&gt;=31,1+'설정'!$C$14*'설정'!$E$37,1)/$D30)^(-'설정'!$C$6),('설정'!$C$37*IF($A30&gt;=31,1+'설정'!$C$14*'설정'!$E$37,1)/$D30)^(-'설정'!$C$7))&gt;('설정'!$C$4+'설정'!$F$37),"실패",ROUND($E30*'설정'!$C$5*IF(('설정'!$C$37*IF($A30&gt;=31,1+'설정'!$C$14*'설정'!$E$37,1)/$D30)&lt;1,('설정'!$C$37*IF($A30&gt;=31,1+'설정'!$C$14*'설정'!$E$37,1)/$D30)^(-'설정'!$C$6),('설정'!$C$37*IF($A30&gt;=31,1+'설정'!$C$14*'설정'!$E$37,1)/$D30)^(-'설정'!$C$7)),0))</f>
        <v/>
      </c>
    </row>
    <row r="31">
      <c r="A31" t="n">
        <v>29</v>
      </c>
      <c r="B31" t="inlineStr">
        <is>
          <t>어려움</t>
        </is>
      </c>
      <c r="C31" t="inlineStr"/>
      <c r="D31" s="6" t="n">
        <v>244000</v>
      </c>
      <c r="E31" t="n">
        <v>90</v>
      </c>
      <c r="F31" s="6" t="n">
        <v>4890</v>
      </c>
      <c r="G31" t="n">
        <v>20</v>
      </c>
      <c r="H31" s="8">
        <f>IF($E31*'설정'!$C$5*IF(('설정'!$C$22*IF($A31&gt;=31,1+'설정'!$C$14*'설정'!$E$22,1)/$D31)&lt;1,('설정'!$C$22*IF($A31&gt;=31,1+'설정'!$C$14*'설정'!$E$22,1)/$D31)^(-'설정'!$C$6),('설정'!$C$22*IF($A31&gt;=31,1+'설정'!$C$14*'설정'!$E$22,1)/$D31)^(-'설정'!$C$7))&gt;('설정'!$C$4+'설정'!$F$22),"실패",ROUND($E31*'설정'!$C$5*IF(('설정'!$C$22*IF($A31&gt;=31,1+'설정'!$C$14*'설정'!$E$22,1)/$D31)&lt;1,('설정'!$C$22*IF($A31&gt;=31,1+'설정'!$C$14*'설정'!$E$22,1)/$D31)^(-'설정'!$C$6),('설정'!$C$22*IF($A31&gt;=31,1+'설정'!$C$14*'설정'!$E$22,1)/$D31)^(-'설정'!$C$7)),0))</f>
        <v/>
      </c>
      <c r="I31" s="8">
        <f>IF($E31*'설정'!$C$5*IF(('설정'!$C$23*IF($A31&gt;=31,1+'설정'!$C$14*'설정'!$E$23,1)/$D31)&lt;1,('설정'!$C$23*IF($A31&gt;=31,1+'설정'!$C$14*'설정'!$E$23,1)/$D31)^(-'설정'!$C$6),('설정'!$C$23*IF($A31&gt;=31,1+'설정'!$C$14*'설정'!$E$23,1)/$D31)^(-'설정'!$C$7))&gt;('설정'!$C$4+'설정'!$F$23),"실패",ROUND($E31*'설정'!$C$5*IF(('설정'!$C$23*IF($A31&gt;=31,1+'설정'!$C$14*'설정'!$E$23,1)/$D31)&lt;1,('설정'!$C$23*IF($A31&gt;=31,1+'설정'!$C$14*'설정'!$E$23,1)/$D31)^(-'설정'!$C$6),('설정'!$C$23*IF($A31&gt;=31,1+'설정'!$C$14*'설정'!$E$23,1)/$D31)^(-'설정'!$C$7)),0))</f>
        <v/>
      </c>
      <c r="J31" s="8">
        <f>IF($E31*'설정'!$C$5*IF(('설정'!$C$24*IF($A31&gt;=31,1+'설정'!$C$14*'설정'!$E$24,1)/$D31)&lt;1,('설정'!$C$24*IF($A31&gt;=31,1+'설정'!$C$14*'설정'!$E$24,1)/$D31)^(-'설정'!$C$6),('설정'!$C$24*IF($A31&gt;=31,1+'설정'!$C$14*'설정'!$E$24,1)/$D31)^(-'설정'!$C$7))&gt;('설정'!$C$4+'설정'!$F$24),"실패",ROUND($E31*'설정'!$C$5*IF(('설정'!$C$24*IF($A31&gt;=31,1+'설정'!$C$14*'설정'!$E$24,1)/$D31)&lt;1,('설정'!$C$24*IF($A31&gt;=31,1+'설정'!$C$14*'설정'!$E$24,1)/$D31)^(-'설정'!$C$6),('설정'!$C$24*IF($A31&gt;=31,1+'설정'!$C$14*'설정'!$E$24,1)/$D31)^(-'설정'!$C$7)),0))</f>
        <v/>
      </c>
      <c r="K31" s="8">
        <f>IF($E31*'설정'!$C$5*IF(('설정'!$C$25*IF($A31&gt;=31,1+'설정'!$C$14*'설정'!$E$25,1)/$D31)&lt;1,('설정'!$C$25*IF($A31&gt;=31,1+'설정'!$C$14*'설정'!$E$25,1)/$D31)^(-'설정'!$C$6),('설정'!$C$25*IF($A31&gt;=31,1+'설정'!$C$14*'설정'!$E$25,1)/$D31)^(-'설정'!$C$7))&gt;('설정'!$C$4+'설정'!$F$25),"실패",ROUND($E31*'설정'!$C$5*IF(('설정'!$C$25*IF($A31&gt;=31,1+'설정'!$C$14*'설정'!$E$25,1)/$D31)&lt;1,('설정'!$C$25*IF($A31&gt;=31,1+'설정'!$C$14*'설정'!$E$25,1)/$D31)^(-'설정'!$C$6),('설정'!$C$25*IF($A31&gt;=31,1+'설정'!$C$14*'설정'!$E$25,1)/$D31)^(-'설정'!$C$7)),0))</f>
        <v/>
      </c>
      <c r="L31" s="8">
        <f>IF($E31*'설정'!$C$5*IF(('설정'!$C$26*IF($A31&gt;=31,1+'설정'!$C$14*'설정'!$E$26,1)/$D31)&lt;1,('설정'!$C$26*IF($A31&gt;=31,1+'설정'!$C$14*'설정'!$E$26,1)/$D31)^(-'설정'!$C$6),('설정'!$C$26*IF($A31&gt;=31,1+'설정'!$C$14*'설정'!$E$26,1)/$D31)^(-'설정'!$C$7))&gt;('설정'!$C$4+'설정'!$F$26),"실패",ROUND($E31*'설정'!$C$5*IF(('설정'!$C$26*IF($A31&gt;=31,1+'설정'!$C$14*'설정'!$E$26,1)/$D31)&lt;1,('설정'!$C$26*IF($A31&gt;=31,1+'설정'!$C$14*'설정'!$E$26,1)/$D31)^(-'설정'!$C$6),('설정'!$C$26*IF($A31&gt;=31,1+'설정'!$C$14*'설정'!$E$26,1)/$D31)^(-'설정'!$C$7)),0))</f>
        <v/>
      </c>
      <c r="M31" s="8">
        <f>IF($E31*'설정'!$C$5*IF(('설정'!$C$27*IF($A31&gt;=31,1+'설정'!$C$14*'설정'!$E$27,1)/$D31)&lt;1,('설정'!$C$27*IF($A31&gt;=31,1+'설정'!$C$14*'설정'!$E$27,1)/$D31)^(-'설정'!$C$6),('설정'!$C$27*IF($A31&gt;=31,1+'설정'!$C$14*'설정'!$E$27,1)/$D31)^(-'설정'!$C$7))&gt;('설정'!$C$4+'설정'!$F$27),"실패",ROUND($E31*'설정'!$C$5*IF(('설정'!$C$27*IF($A31&gt;=31,1+'설정'!$C$14*'설정'!$E$27,1)/$D31)&lt;1,('설정'!$C$27*IF($A31&gt;=31,1+'설정'!$C$14*'설정'!$E$27,1)/$D31)^(-'설정'!$C$6),('설정'!$C$27*IF($A31&gt;=31,1+'설정'!$C$14*'설정'!$E$27,1)/$D31)^(-'설정'!$C$7)),0))</f>
        <v/>
      </c>
      <c r="N31" s="8">
        <f>IF($E31*'설정'!$C$5*IF(('설정'!$C$28*IF($A31&gt;=31,1+'설정'!$C$14*'설정'!$E$28,1)/$D31)&lt;1,('설정'!$C$28*IF($A31&gt;=31,1+'설정'!$C$14*'설정'!$E$28,1)/$D31)^(-'설정'!$C$6),('설정'!$C$28*IF($A31&gt;=31,1+'설정'!$C$14*'설정'!$E$28,1)/$D31)^(-'설정'!$C$7))&gt;('설정'!$C$4+'설정'!$F$28),"실패",ROUND($E31*'설정'!$C$5*IF(('설정'!$C$28*IF($A31&gt;=31,1+'설정'!$C$14*'설정'!$E$28,1)/$D31)&lt;1,('설정'!$C$28*IF($A31&gt;=31,1+'설정'!$C$14*'설정'!$E$28,1)/$D31)^(-'설정'!$C$6),('설정'!$C$28*IF($A31&gt;=31,1+'설정'!$C$14*'설정'!$E$28,1)/$D31)^(-'설정'!$C$7)),0))</f>
        <v/>
      </c>
      <c r="O31" s="8">
        <f>IF($E31*'설정'!$C$5*IF(('설정'!$C$29*IF($A31&gt;=31,1+'설정'!$C$14*'설정'!$E$29,1)/$D31)&lt;1,('설정'!$C$29*IF($A31&gt;=31,1+'설정'!$C$14*'설정'!$E$29,1)/$D31)^(-'설정'!$C$6),('설정'!$C$29*IF($A31&gt;=31,1+'설정'!$C$14*'설정'!$E$29,1)/$D31)^(-'설정'!$C$7))&gt;('설정'!$C$4+'설정'!$F$29),"실패",ROUND($E31*'설정'!$C$5*IF(('설정'!$C$29*IF($A31&gt;=31,1+'설정'!$C$14*'설정'!$E$29,1)/$D31)&lt;1,('설정'!$C$29*IF($A31&gt;=31,1+'설정'!$C$14*'설정'!$E$29,1)/$D31)^(-'설정'!$C$6),('설정'!$C$29*IF($A31&gt;=31,1+'설정'!$C$14*'설정'!$E$29,1)/$D31)^(-'설정'!$C$7)),0))</f>
        <v/>
      </c>
      <c r="P31" s="8">
        <f>IF($E31*'설정'!$C$5*IF(('설정'!$C$30*IF($A31&gt;=31,1+'설정'!$C$14*'설정'!$E$30,1)/$D31)&lt;1,('설정'!$C$30*IF($A31&gt;=31,1+'설정'!$C$14*'설정'!$E$30,1)/$D31)^(-'설정'!$C$6),('설정'!$C$30*IF($A31&gt;=31,1+'설정'!$C$14*'설정'!$E$30,1)/$D31)^(-'설정'!$C$7))&gt;('설정'!$C$4+'설정'!$F$30),"실패",ROUND($E31*'설정'!$C$5*IF(('설정'!$C$30*IF($A31&gt;=31,1+'설정'!$C$14*'설정'!$E$30,1)/$D31)&lt;1,('설정'!$C$30*IF($A31&gt;=31,1+'설정'!$C$14*'설정'!$E$30,1)/$D31)^(-'설정'!$C$6),('설정'!$C$30*IF($A31&gt;=31,1+'설정'!$C$14*'설정'!$E$30,1)/$D31)^(-'설정'!$C$7)),0))</f>
        <v/>
      </c>
      <c r="Q31" s="8">
        <f>IF($E31*'설정'!$C$5*IF(('설정'!$C$31*IF($A31&gt;=31,1+'설정'!$C$14*'설정'!$E$31,1)/$D31)&lt;1,('설정'!$C$31*IF($A31&gt;=31,1+'설정'!$C$14*'설정'!$E$31,1)/$D31)^(-'설정'!$C$6),('설정'!$C$31*IF($A31&gt;=31,1+'설정'!$C$14*'설정'!$E$31,1)/$D31)^(-'설정'!$C$7))&gt;('설정'!$C$4+'설정'!$F$31),"실패",ROUND($E31*'설정'!$C$5*IF(('설정'!$C$31*IF($A31&gt;=31,1+'설정'!$C$14*'설정'!$E$31,1)/$D31)&lt;1,('설정'!$C$31*IF($A31&gt;=31,1+'설정'!$C$14*'설정'!$E$31,1)/$D31)^(-'설정'!$C$6),('설정'!$C$31*IF($A31&gt;=31,1+'설정'!$C$14*'설정'!$E$31,1)/$D31)^(-'설정'!$C$7)),0))</f>
        <v/>
      </c>
      <c r="R31" s="8">
        <f>IF($E31*'설정'!$C$5*IF(('설정'!$C$32*IF($A31&gt;=31,1+'설정'!$C$14*'설정'!$E$32,1)/$D31)&lt;1,('설정'!$C$32*IF($A31&gt;=31,1+'설정'!$C$14*'설정'!$E$32,1)/$D31)^(-'설정'!$C$6),('설정'!$C$32*IF($A31&gt;=31,1+'설정'!$C$14*'설정'!$E$32,1)/$D31)^(-'설정'!$C$7))&gt;('설정'!$C$4+'설정'!$F$32),"실패",ROUND($E31*'설정'!$C$5*IF(('설정'!$C$32*IF($A31&gt;=31,1+'설정'!$C$14*'설정'!$E$32,1)/$D31)&lt;1,('설정'!$C$32*IF($A31&gt;=31,1+'설정'!$C$14*'설정'!$E$32,1)/$D31)^(-'설정'!$C$6),('설정'!$C$32*IF($A31&gt;=31,1+'설정'!$C$14*'설정'!$E$32,1)/$D31)^(-'설정'!$C$7)),0))</f>
        <v/>
      </c>
      <c r="S31" s="8">
        <f>IF($E31*'설정'!$C$5*IF(('설정'!$C$33*IF($A31&gt;=31,1+'설정'!$C$14*'설정'!$E$33,1)/$D31)&lt;1,('설정'!$C$33*IF($A31&gt;=31,1+'설정'!$C$14*'설정'!$E$33,1)/$D31)^(-'설정'!$C$6),('설정'!$C$33*IF($A31&gt;=31,1+'설정'!$C$14*'설정'!$E$33,1)/$D31)^(-'설정'!$C$7))&gt;('설정'!$C$4+'설정'!$F$33),"실패",ROUND($E31*'설정'!$C$5*IF(('설정'!$C$33*IF($A31&gt;=31,1+'설정'!$C$14*'설정'!$E$33,1)/$D31)&lt;1,('설정'!$C$33*IF($A31&gt;=31,1+'설정'!$C$14*'설정'!$E$33,1)/$D31)^(-'설정'!$C$6),('설정'!$C$33*IF($A31&gt;=31,1+'설정'!$C$14*'설정'!$E$33,1)/$D31)^(-'설정'!$C$7)),0))</f>
        <v/>
      </c>
      <c r="T31" s="8">
        <f>IF($E31*'설정'!$C$5*IF(('설정'!$C$34*IF($A31&gt;=31,1+'설정'!$C$14*'설정'!$E$34,1)/$D31)&lt;1,('설정'!$C$34*IF($A31&gt;=31,1+'설정'!$C$14*'설정'!$E$34,1)/$D31)^(-'설정'!$C$6),('설정'!$C$34*IF($A31&gt;=31,1+'설정'!$C$14*'설정'!$E$34,1)/$D31)^(-'설정'!$C$7))&gt;('설정'!$C$4+'설정'!$F$34),"실패",ROUND($E31*'설정'!$C$5*IF(('설정'!$C$34*IF($A31&gt;=31,1+'설정'!$C$14*'설정'!$E$34,1)/$D31)&lt;1,('설정'!$C$34*IF($A31&gt;=31,1+'설정'!$C$14*'설정'!$E$34,1)/$D31)^(-'설정'!$C$6),('설정'!$C$34*IF($A31&gt;=31,1+'설정'!$C$14*'설정'!$E$34,1)/$D31)^(-'설정'!$C$7)),0))</f>
        <v/>
      </c>
      <c r="U31" s="8">
        <f>IF($E31*'설정'!$C$5*IF(('설정'!$C$35*IF($A31&gt;=31,1+'설정'!$C$14*'설정'!$E$35,1)/$D31)&lt;1,('설정'!$C$35*IF($A31&gt;=31,1+'설정'!$C$14*'설정'!$E$35,1)/$D31)^(-'설정'!$C$6),('설정'!$C$35*IF($A31&gt;=31,1+'설정'!$C$14*'설정'!$E$35,1)/$D31)^(-'설정'!$C$7))&gt;('설정'!$C$4+'설정'!$F$35),"실패",ROUND($E31*'설정'!$C$5*IF(('설정'!$C$35*IF($A31&gt;=31,1+'설정'!$C$14*'설정'!$E$35,1)/$D31)&lt;1,('설정'!$C$35*IF($A31&gt;=31,1+'설정'!$C$14*'설정'!$E$35,1)/$D31)^(-'설정'!$C$6),('설정'!$C$35*IF($A31&gt;=31,1+'설정'!$C$14*'설정'!$E$35,1)/$D31)^(-'설정'!$C$7)),0))</f>
        <v/>
      </c>
      <c r="V31" s="8">
        <f>IF($E31*'설정'!$C$5*IF(('설정'!$C$36*IF($A31&gt;=31,1+'설정'!$C$14*'설정'!$E$36,1)/$D31)&lt;1,('설정'!$C$36*IF($A31&gt;=31,1+'설정'!$C$14*'설정'!$E$36,1)/$D31)^(-'설정'!$C$6),('설정'!$C$36*IF($A31&gt;=31,1+'설정'!$C$14*'설정'!$E$36,1)/$D31)^(-'설정'!$C$7))&gt;('설정'!$C$4+'설정'!$F$36),"실패",ROUND($E31*'설정'!$C$5*IF(('설정'!$C$36*IF($A31&gt;=31,1+'설정'!$C$14*'설정'!$E$36,1)/$D31)&lt;1,('설정'!$C$36*IF($A31&gt;=31,1+'설정'!$C$14*'설정'!$E$36,1)/$D31)^(-'설정'!$C$6),('설정'!$C$36*IF($A31&gt;=31,1+'설정'!$C$14*'설정'!$E$36,1)/$D31)^(-'설정'!$C$7)),0))</f>
        <v/>
      </c>
      <c r="W31" s="8">
        <f>IF($E31*'설정'!$C$5*IF(('설정'!$C$37*IF($A31&gt;=31,1+'설정'!$C$14*'설정'!$E$37,1)/$D31)&lt;1,('설정'!$C$37*IF($A31&gt;=31,1+'설정'!$C$14*'설정'!$E$37,1)/$D31)^(-'설정'!$C$6),('설정'!$C$37*IF($A31&gt;=31,1+'설정'!$C$14*'설정'!$E$37,1)/$D31)^(-'설정'!$C$7))&gt;('설정'!$C$4+'설정'!$F$37),"실패",ROUND($E31*'설정'!$C$5*IF(('설정'!$C$37*IF($A31&gt;=31,1+'설정'!$C$14*'설정'!$E$37,1)/$D31)&lt;1,('설정'!$C$37*IF($A31&gt;=31,1+'설정'!$C$14*'설정'!$E$37,1)/$D31)^(-'설정'!$C$6),('설정'!$C$37*IF($A31&gt;=31,1+'설정'!$C$14*'설정'!$E$37,1)/$D31)^(-'설정'!$C$7)),0))</f>
        <v/>
      </c>
    </row>
    <row r="32">
      <c r="A32" s="4" t="n">
        <v>30</v>
      </c>
      <c r="B32" s="4" t="inlineStr">
        <is>
          <t>허들</t>
        </is>
      </c>
      <c r="C32" s="4" t="inlineStr">
        <is>
          <t>보스</t>
        </is>
      </c>
      <c r="D32" s="9" t="n">
        <v>400000</v>
      </c>
      <c r="E32" s="4" t="n">
        <v>147</v>
      </c>
      <c r="F32" s="9" t="n">
        <v>8000</v>
      </c>
      <c r="G32" s="4" t="n">
        <v>31</v>
      </c>
      <c r="H32" s="8">
        <f>IF($E32*'설정'!$C$5*IF(('설정'!$C$22*IF($A32&gt;=31,1+'설정'!$C$14*'설정'!$E$22,1)/$D32)&lt;1,('설정'!$C$22*IF($A32&gt;=31,1+'설정'!$C$14*'설정'!$E$22,1)/$D32)^(-'설정'!$C$6),('설정'!$C$22*IF($A32&gt;=31,1+'설정'!$C$14*'설정'!$E$22,1)/$D32)^(-'설정'!$C$7))&gt;('설정'!$C$4+'설정'!$F$22+'설정'!$G$22),"실패",ROUND($E32*'설정'!$C$5*IF(('설정'!$C$22*IF($A32&gt;=31,1+'설정'!$C$14*'설정'!$E$22,1)/$D32)&lt;1,('설정'!$C$22*IF($A32&gt;=31,1+'설정'!$C$14*'설정'!$E$22,1)/$D32)^(-'설정'!$C$6),('설정'!$C$22*IF($A32&gt;=31,1+'설정'!$C$14*'설정'!$E$22,1)/$D32)^(-'설정'!$C$7)),0))</f>
        <v/>
      </c>
      <c r="I32" s="8">
        <f>IF($E32*'설정'!$C$5*IF(('설정'!$C$23*IF($A32&gt;=31,1+'설정'!$C$14*'설정'!$E$23,1)/$D32)&lt;1,('설정'!$C$23*IF($A32&gt;=31,1+'설정'!$C$14*'설정'!$E$23,1)/$D32)^(-'설정'!$C$6),('설정'!$C$23*IF($A32&gt;=31,1+'설정'!$C$14*'설정'!$E$23,1)/$D32)^(-'설정'!$C$7))&gt;('설정'!$C$4+'설정'!$F$23+'설정'!$G$23),"실패",ROUND($E32*'설정'!$C$5*IF(('설정'!$C$23*IF($A32&gt;=31,1+'설정'!$C$14*'설정'!$E$23,1)/$D32)&lt;1,('설정'!$C$23*IF($A32&gt;=31,1+'설정'!$C$14*'설정'!$E$23,1)/$D32)^(-'설정'!$C$6),('설정'!$C$23*IF($A32&gt;=31,1+'설정'!$C$14*'설정'!$E$23,1)/$D32)^(-'설정'!$C$7)),0))</f>
        <v/>
      </c>
      <c r="J32" s="8">
        <f>IF($E32*'설정'!$C$5*IF(('설정'!$C$24*IF($A32&gt;=31,1+'설정'!$C$14*'설정'!$E$24,1)/$D32)&lt;1,('설정'!$C$24*IF($A32&gt;=31,1+'설정'!$C$14*'설정'!$E$24,1)/$D32)^(-'설정'!$C$6),('설정'!$C$24*IF($A32&gt;=31,1+'설정'!$C$14*'설정'!$E$24,1)/$D32)^(-'설정'!$C$7))&gt;('설정'!$C$4+'설정'!$F$24+'설정'!$G$24),"실패",ROUND($E32*'설정'!$C$5*IF(('설정'!$C$24*IF($A32&gt;=31,1+'설정'!$C$14*'설정'!$E$24,1)/$D32)&lt;1,('설정'!$C$24*IF($A32&gt;=31,1+'설정'!$C$14*'설정'!$E$24,1)/$D32)^(-'설정'!$C$6),('설정'!$C$24*IF($A32&gt;=31,1+'설정'!$C$14*'설정'!$E$24,1)/$D32)^(-'설정'!$C$7)),0))</f>
        <v/>
      </c>
      <c r="K32" s="8">
        <f>IF($E32*'설정'!$C$5*IF(('설정'!$C$25*IF($A32&gt;=31,1+'설정'!$C$14*'설정'!$E$25,1)/$D32)&lt;1,('설정'!$C$25*IF($A32&gt;=31,1+'설정'!$C$14*'설정'!$E$25,1)/$D32)^(-'설정'!$C$6),('설정'!$C$25*IF($A32&gt;=31,1+'설정'!$C$14*'설정'!$E$25,1)/$D32)^(-'설정'!$C$7))&gt;('설정'!$C$4+'설정'!$F$25+'설정'!$G$25),"실패",ROUND($E32*'설정'!$C$5*IF(('설정'!$C$25*IF($A32&gt;=31,1+'설정'!$C$14*'설정'!$E$25,1)/$D32)&lt;1,('설정'!$C$25*IF($A32&gt;=31,1+'설정'!$C$14*'설정'!$E$25,1)/$D32)^(-'설정'!$C$6),('설정'!$C$25*IF($A32&gt;=31,1+'설정'!$C$14*'설정'!$E$25,1)/$D32)^(-'설정'!$C$7)),0))</f>
        <v/>
      </c>
      <c r="L32" s="8">
        <f>IF($E32*'설정'!$C$5*IF(('설정'!$C$26*IF($A32&gt;=31,1+'설정'!$C$14*'설정'!$E$26,1)/$D32)&lt;1,('설정'!$C$26*IF($A32&gt;=31,1+'설정'!$C$14*'설정'!$E$26,1)/$D32)^(-'설정'!$C$6),('설정'!$C$26*IF($A32&gt;=31,1+'설정'!$C$14*'설정'!$E$26,1)/$D32)^(-'설정'!$C$7))&gt;('설정'!$C$4+'설정'!$F$26+'설정'!$G$26),"실패",ROUND($E32*'설정'!$C$5*IF(('설정'!$C$26*IF($A32&gt;=31,1+'설정'!$C$14*'설정'!$E$26,1)/$D32)&lt;1,('설정'!$C$26*IF($A32&gt;=31,1+'설정'!$C$14*'설정'!$E$26,1)/$D32)^(-'설정'!$C$6),('설정'!$C$26*IF($A32&gt;=31,1+'설정'!$C$14*'설정'!$E$26,1)/$D32)^(-'설정'!$C$7)),0))</f>
        <v/>
      </c>
      <c r="M32" s="8">
        <f>IF($E32*'설정'!$C$5*IF(('설정'!$C$27*IF($A32&gt;=31,1+'설정'!$C$14*'설정'!$E$27,1)/$D32)&lt;1,('설정'!$C$27*IF($A32&gt;=31,1+'설정'!$C$14*'설정'!$E$27,1)/$D32)^(-'설정'!$C$6),('설정'!$C$27*IF($A32&gt;=31,1+'설정'!$C$14*'설정'!$E$27,1)/$D32)^(-'설정'!$C$7))&gt;('설정'!$C$4+'설정'!$F$27+'설정'!$G$27),"실패",ROUND($E32*'설정'!$C$5*IF(('설정'!$C$27*IF($A32&gt;=31,1+'설정'!$C$14*'설정'!$E$27,1)/$D32)&lt;1,('설정'!$C$27*IF($A32&gt;=31,1+'설정'!$C$14*'설정'!$E$27,1)/$D32)^(-'설정'!$C$6),('설정'!$C$27*IF($A32&gt;=31,1+'설정'!$C$14*'설정'!$E$27,1)/$D32)^(-'설정'!$C$7)),0))</f>
        <v/>
      </c>
      <c r="N32" s="8">
        <f>IF($E32*'설정'!$C$5*IF(('설정'!$C$28*IF($A32&gt;=31,1+'설정'!$C$14*'설정'!$E$28,1)/$D32)&lt;1,('설정'!$C$28*IF($A32&gt;=31,1+'설정'!$C$14*'설정'!$E$28,1)/$D32)^(-'설정'!$C$6),('설정'!$C$28*IF($A32&gt;=31,1+'설정'!$C$14*'설정'!$E$28,1)/$D32)^(-'설정'!$C$7))&gt;('설정'!$C$4+'설정'!$F$28+'설정'!$G$28),"실패",ROUND($E32*'설정'!$C$5*IF(('설정'!$C$28*IF($A32&gt;=31,1+'설정'!$C$14*'설정'!$E$28,1)/$D32)&lt;1,('설정'!$C$28*IF($A32&gt;=31,1+'설정'!$C$14*'설정'!$E$28,1)/$D32)^(-'설정'!$C$6),('설정'!$C$28*IF($A32&gt;=31,1+'설정'!$C$14*'설정'!$E$28,1)/$D32)^(-'설정'!$C$7)),0))</f>
        <v/>
      </c>
      <c r="O32" s="8">
        <f>IF($E32*'설정'!$C$5*IF(('설정'!$C$29*IF($A32&gt;=31,1+'설정'!$C$14*'설정'!$E$29,1)/$D32)&lt;1,('설정'!$C$29*IF($A32&gt;=31,1+'설정'!$C$14*'설정'!$E$29,1)/$D32)^(-'설정'!$C$6),('설정'!$C$29*IF($A32&gt;=31,1+'설정'!$C$14*'설정'!$E$29,1)/$D32)^(-'설정'!$C$7))&gt;('설정'!$C$4+'설정'!$F$29+'설정'!$G$29),"실패",ROUND($E32*'설정'!$C$5*IF(('설정'!$C$29*IF($A32&gt;=31,1+'설정'!$C$14*'설정'!$E$29,1)/$D32)&lt;1,('설정'!$C$29*IF($A32&gt;=31,1+'설정'!$C$14*'설정'!$E$29,1)/$D32)^(-'설정'!$C$6),('설정'!$C$29*IF($A32&gt;=31,1+'설정'!$C$14*'설정'!$E$29,1)/$D32)^(-'설정'!$C$7)),0))</f>
        <v/>
      </c>
      <c r="P32" s="8">
        <f>IF($E32*'설정'!$C$5*IF(('설정'!$C$30*IF($A32&gt;=31,1+'설정'!$C$14*'설정'!$E$30,1)/$D32)&lt;1,('설정'!$C$30*IF($A32&gt;=31,1+'설정'!$C$14*'설정'!$E$30,1)/$D32)^(-'설정'!$C$6),('설정'!$C$30*IF($A32&gt;=31,1+'설정'!$C$14*'설정'!$E$30,1)/$D32)^(-'설정'!$C$7))&gt;('설정'!$C$4+'설정'!$F$30+'설정'!$G$30),"실패",ROUND($E32*'설정'!$C$5*IF(('설정'!$C$30*IF($A32&gt;=31,1+'설정'!$C$14*'설정'!$E$30,1)/$D32)&lt;1,('설정'!$C$30*IF($A32&gt;=31,1+'설정'!$C$14*'설정'!$E$30,1)/$D32)^(-'설정'!$C$6),('설정'!$C$30*IF($A32&gt;=31,1+'설정'!$C$14*'설정'!$E$30,1)/$D32)^(-'설정'!$C$7)),0))</f>
        <v/>
      </c>
      <c r="Q32" s="8">
        <f>IF($E32*'설정'!$C$5*IF(('설정'!$C$31*IF($A32&gt;=31,1+'설정'!$C$14*'설정'!$E$31,1)/$D32)&lt;1,('설정'!$C$31*IF($A32&gt;=31,1+'설정'!$C$14*'설정'!$E$31,1)/$D32)^(-'설정'!$C$6),('설정'!$C$31*IF($A32&gt;=31,1+'설정'!$C$14*'설정'!$E$31,1)/$D32)^(-'설정'!$C$7))&gt;('설정'!$C$4+'설정'!$F$31+'설정'!$G$31),"실패",ROUND($E32*'설정'!$C$5*IF(('설정'!$C$31*IF($A32&gt;=31,1+'설정'!$C$14*'설정'!$E$31,1)/$D32)&lt;1,('설정'!$C$31*IF($A32&gt;=31,1+'설정'!$C$14*'설정'!$E$31,1)/$D32)^(-'설정'!$C$6),('설정'!$C$31*IF($A32&gt;=31,1+'설정'!$C$14*'설정'!$E$31,1)/$D32)^(-'설정'!$C$7)),0))</f>
        <v/>
      </c>
      <c r="R32" s="8">
        <f>IF($E32*'설정'!$C$5*IF(('설정'!$C$32*IF($A32&gt;=31,1+'설정'!$C$14*'설정'!$E$32,1)/$D32)&lt;1,('설정'!$C$32*IF($A32&gt;=31,1+'설정'!$C$14*'설정'!$E$32,1)/$D32)^(-'설정'!$C$6),('설정'!$C$32*IF($A32&gt;=31,1+'설정'!$C$14*'설정'!$E$32,1)/$D32)^(-'설정'!$C$7))&gt;('설정'!$C$4+'설정'!$F$32+'설정'!$G$32),"실패",ROUND($E32*'설정'!$C$5*IF(('설정'!$C$32*IF($A32&gt;=31,1+'설정'!$C$14*'설정'!$E$32,1)/$D32)&lt;1,('설정'!$C$32*IF($A32&gt;=31,1+'설정'!$C$14*'설정'!$E$32,1)/$D32)^(-'설정'!$C$6),('설정'!$C$32*IF($A32&gt;=31,1+'설정'!$C$14*'설정'!$E$32,1)/$D32)^(-'설정'!$C$7)),0))</f>
        <v/>
      </c>
      <c r="S32" s="8">
        <f>IF($E32*'설정'!$C$5*IF(('설정'!$C$33*IF($A32&gt;=31,1+'설정'!$C$14*'설정'!$E$33,1)/$D32)&lt;1,('설정'!$C$33*IF($A32&gt;=31,1+'설정'!$C$14*'설정'!$E$33,1)/$D32)^(-'설정'!$C$6),('설정'!$C$33*IF($A32&gt;=31,1+'설정'!$C$14*'설정'!$E$33,1)/$D32)^(-'설정'!$C$7))&gt;('설정'!$C$4+'설정'!$F$33+'설정'!$G$33),"실패",ROUND($E32*'설정'!$C$5*IF(('설정'!$C$33*IF($A32&gt;=31,1+'설정'!$C$14*'설정'!$E$33,1)/$D32)&lt;1,('설정'!$C$33*IF($A32&gt;=31,1+'설정'!$C$14*'설정'!$E$33,1)/$D32)^(-'설정'!$C$6),('설정'!$C$33*IF($A32&gt;=31,1+'설정'!$C$14*'설정'!$E$33,1)/$D32)^(-'설정'!$C$7)),0))</f>
        <v/>
      </c>
      <c r="T32" s="8">
        <f>IF($E32*'설정'!$C$5*IF(('설정'!$C$34*IF($A32&gt;=31,1+'설정'!$C$14*'설정'!$E$34,1)/$D32)&lt;1,('설정'!$C$34*IF($A32&gt;=31,1+'설정'!$C$14*'설정'!$E$34,1)/$D32)^(-'설정'!$C$6),('설정'!$C$34*IF($A32&gt;=31,1+'설정'!$C$14*'설정'!$E$34,1)/$D32)^(-'설정'!$C$7))&gt;('설정'!$C$4+'설정'!$F$34+'설정'!$G$34),"실패",ROUND($E32*'설정'!$C$5*IF(('설정'!$C$34*IF($A32&gt;=31,1+'설정'!$C$14*'설정'!$E$34,1)/$D32)&lt;1,('설정'!$C$34*IF($A32&gt;=31,1+'설정'!$C$14*'설정'!$E$34,1)/$D32)^(-'설정'!$C$6),('설정'!$C$34*IF($A32&gt;=31,1+'설정'!$C$14*'설정'!$E$34,1)/$D32)^(-'설정'!$C$7)),0))</f>
        <v/>
      </c>
      <c r="U32" s="8">
        <f>IF($E32*'설정'!$C$5*IF(('설정'!$C$35*IF($A32&gt;=31,1+'설정'!$C$14*'설정'!$E$35,1)/$D32)&lt;1,('설정'!$C$35*IF($A32&gt;=31,1+'설정'!$C$14*'설정'!$E$35,1)/$D32)^(-'설정'!$C$6),('설정'!$C$35*IF($A32&gt;=31,1+'설정'!$C$14*'설정'!$E$35,1)/$D32)^(-'설정'!$C$7))&gt;('설정'!$C$4+'설정'!$F$35+'설정'!$G$35),"실패",ROUND($E32*'설정'!$C$5*IF(('설정'!$C$35*IF($A32&gt;=31,1+'설정'!$C$14*'설정'!$E$35,1)/$D32)&lt;1,('설정'!$C$35*IF($A32&gt;=31,1+'설정'!$C$14*'설정'!$E$35,1)/$D32)^(-'설정'!$C$6),('설정'!$C$35*IF($A32&gt;=31,1+'설정'!$C$14*'설정'!$E$35,1)/$D32)^(-'설정'!$C$7)),0))</f>
        <v/>
      </c>
      <c r="V32" s="8">
        <f>IF($E32*'설정'!$C$5*IF(('설정'!$C$36*IF($A32&gt;=31,1+'설정'!$C$14*'설정'!$E$36,1)/$D32)&lt;1,('설정'!$C$36*IF($A32&gt;=31,1+'설정'!$C$14*'설정'!$E$36,1)/$D32)^(-'설정'!$C$6),('설정'!$C$36*IF($A32&gt;=31,1+'설정'!$C$14*'설정'!$E$36,1)/$D32)^(-'설정'!$C$7))&gt;('설정'!$C$4+'설정'!$F$36+'설정'!$G$36),"실패",ROUND($E32*'설정'!$C$5*IF(('설정'!$C$36*IF($A32&gt;=31,1+'설정'!$C$14*'설정'!$E$36,1)/$D32)&lt;1,('설정'!$C$36*IF($A32&gt;=31,1+'설정'!$C$14*'설정'!$E$36,1)/$D32)^(-'설정'!$C$6),('설정'!$C$36*IF($A32&gt;=31,1+'설정'!$C$14*'설정'!$E$36,1)/$D32)^(-'설정'!$C$7)),0))</f>
        <v/>
      </c>
      <c r="W32" s="8">
        <f>IF($E32*'설정'!$C$5*IF(('설정'!$C$37*IF($A32&gt;=31,1+'설정'!$C$14*'설정'!$E$37,1)/$D32)&lt;1,('설정'!$C$37*IF($A32&gt;=31,1+'설정'!$C$14*'설정'!$E$37,1)/$D32)^(-'설정'!$C$6),('설정'!$C$37*IF($A32&gt;=31,1+'설정'!$C$14*'설정'!$E$37,1)/$D32)^(-'설정'!$C$7))&gt;('설정'!$C$4+'설정'!$F$37+'설정'!$G$37),"실패",ROUND($E32*'설정'!$C$5*IF(('설정'!$C$37*IF($A32&gt;=31,1+'설정'!$C$14*'설정'!$E$37,1)/$D32)&lt;1,('설정'!$C$37*IF($A32&gt;=31,1+'설정'!$C$14*'설정'!$E$37,1)/$D32)^(-'설정'!$C$6),('설정'!$C$37*IF($A32&gt;=31,1+'설정'!$C$14*'설정'!$E$37,1)/$D32)^(-'설정'!$C$7)),0))</f>
        <v/>
      </c>
    </row>
    <row r="33">
      <c r="A33" t="n">
        <v>31</v>
      </c>
      <c r="B33" t="inlineStr">
        <is>
          <t>쉬움</t>
        </is>
      </c>
      <c r="C33" t="inlineStr"/>
      <c r="D33" s="6" t="n">
        <v>267000</v>
      </c>
      <c r="E33" t="n">
        <v>72</v>
      </c>
      <c r="F33" s="6" t="n">
        <v>5350</v>
      </c>
      <c r="G33" t="n">
        <v>31</v>
      </c>
      <c r="H33" s="8">
        <f>IF($E33*'설정'!$C$5*IF(('설정'!$C$22*IF($A33&gt;=31,1+'설정'!$C$14*'설정'!$E$22,1)/$D33)&lt;1,('설정'!$C$22*IF($A33&gt;=31,1+'설정'!$C$14*'설정'!$E$22,1)/$D33)^(-'설정'!$C$6),('설정'!$C$22*IF($A33&gt;=31,1+'설정'!$C$14*'설정'!$E$22,1)/$D33)^(-'설정'!$C$7))&gt;('설정'!$C$4+'설정'!$F$22),"실패",ROUND($E33*'설정'!$C$5*IF(('설정'!$C$22*IF($A33&gt;=31,1+'설정'!$C$14*'설정'!$E$22,1)/$D33)&lt;1,('설정'!$C$22*IF($A33&gt;=31,1+'설정'!$C$14*'설정'!$E$22,1)/$D33)^(-'설정'!$C$6),('설정'!$C$22*IF($A33&gt;=31,1+'설정'!$C$14*'설정'!$E$22,1)/$D33)^(-'설정'!$C$7)),0))</f>
        <v/>
      </c>
      <c r="I33" s="8">
        <f>IF($E33*'설정'!$C$5*IF(('설정'!$C$23*IF($A33&gt;=31,1+'설정'!$C$14*'설정'!$E$23,1)/$D33)&lt;1,('설정'!$C$23*IF($A33&gt;=31,1+'설정'!$C$14*'설정'!$E$23,1)/$D33)^(-'설정'!$C$6),('설정'!$C$23*IF($A33&gt;=31,1+'설정'!$C$14*'설정'!$E$23,1)/$D33)^(-'설정'!$C$7))&gt;('설정'!$C$4+'설정'!$F$23),"실패",ROUND($E33*'설정'!$C$5*IF(('설정'!$C$23*IF($A33&gt;=31,1+'설정'!$C$14*'설정'!$E$23,1)/$D33)&lt;1,('설정'!$C$23*IF($A33&gt;=31,1+'설정'!$C$14*'설정'!$E$23,1)/$D33)^(-'설정'!$C$6),('설정'!$C$23*IF($A33&gt;=31,1+'설정'!$C$14*'설정'!$E$23,1)/$D33)^(-'설정'!$C$7)),0))</f>
        <v/>
      </c>
      <c r="J33" s="8">
        <f>IF($E33*'설정'!$C$5*IF(('설정'!$C$24*IF($A33&gt;=31,1+'설정'!$C$14*'설정'!$E$24,1)/$D33)&lt;1,('설정'!$C$24*IF($A33&gt;=31,1+'설정'!$C$14*'설정'!$E$24,1)/$D33)^(-'설정'!$C$6),('설정'!$C$24*IF($A33&gt;=31,1+'설정'!$C$14*'설정'!$E$24,1)/$D33)^(-'설정'!$C$7))&gt;('설정'!$C$4+'설정'!$F$24),"실패",ROUND($E33*'설정'!$C$5*IF(('설정'!$C$24*IF($A33&gt;=31,1+'설정'!$C$14*'설정'!$E$24,1)/$D33)&lt;1,('설정'!$C$24*IF($A33&gt;=31,1+'설정'!$C$14*'설정'!$E$24,1)/$D33)^(-'설정'!$C$6),('설정'!$C$24*IF($A33&gt;=31,1+'설정'!$C$14*'설정'!$E$24,1)/$D33)^(-'설정'!$C$7)),0))</f>
        <v/>
      </c>
      <c r="K33" s="8">
        <f>IF($E33*'설정'!$C$5*IF(('설정'!$C$25*IF($A33&gt;=31,1+'설정'!$C$14*'설정'!$E$25,1)/$D33)&lt;1,('설정'!$C$25*IF($A33&gt;=31,1+'설정'!$C$14*'설정'!$E$25,1)/$D33)^(-'설정'!$C$6),('설정'!$C$25*IF($A33&gt;=31,1+'설정'!$C$14*'설정'!$E$25,1)/$D33)^(-'설정'!$C$7))&gt;('설정'!$C$4+'설정'!$F$25),"실패",ROUND($E33*'설정'!$C$5*IF(('설정'!$C$25*IF($A33&gt;=31,1+'설정'!$C$14*'설정'!$E$25,1)/$D33)&lt;1,('설정'!$C$25*IF($A33&gt;=31,1+'설정'!$C$14*'설정'!$E$25,1)/$D33)^(-'설정'!$C$6),('설정'!$C$25*IF($A33&gt;=31,1+'설정'!$C$14*'설정'!$E$25,1)/$D33)^(-'설정'!$C$7)),0))</f>
        <v/>
      </c>
      <c r="L33" s="8">
        <f>IF($E33*'설정'!$C$5*IF(('설정'!$C$26*IF($A33&gt;=31,1+'설정'!$C$14*'설정'!$E$26,1)/$D33)&lt;1,('설정'!$C$26*IF($A33&gt;=31,1+'설정'!$C$14*'설정'!$E$26,1)/$D33)^(-'설정'!$C$6),('설정'!$C$26*IF($A33&gt;=31,1+'설정'!$C$14*'설정'!$E$26,1)/$D33)^(-'설정'!$C$7))&gt;('설정'!$C$4+'설정'!$F$26),"실패",ROUND($E33*'설정'!$C$5*IF(('설정'!$C$26*IF($A33&gt;=31,1+'설정'!$C$14*'설정'!$E$26,1)/$D33)&lt;1,('설정'!$C$26*IF($A33&gt;=31,1+'설정'!$C$14*'설정'!$E$26,1)/$D33)^(-'설정'!$C$6),('설정'!$C$26*IF($A33&gt;=31,1+'설정'!$C$14*'설정'!$E$26,1)/$D33)^(-'설정'!$C$7)),0))</f>
        <v/>
      </c>
      <c r="M33" s="8">
        <f>IF($E33*'설정'!$C$5*IF(('설정'!$C$27*IF($A33&gt;=31,1+'설정'!$C$14*'설정'!$E$27,1)/$D33)&lt;1,('설정'!$C$27*IF($A33&gt;=31,1+'설정'!$C$14*'설정'!$E$27,1)/$D33)^(-'설정'!$C$6),('설정'!$C$27*IF($A33&gt;=31,1+'설정'!$C$14*'설정'!$E$27,1)/$D33)^(-'설정'!$C$7))&gt;('설정'!$C$4+'설정'!$F$27),"실패",ROUND($E33*'설정'!$C$5*IF(('설정'!$C$27*IF($A33&gt;=31,1+'설정'!$C$14*'설정'!$E$27,1)/$D33)&lt;1,('설정'!$C$27*IF($A33&gt;=31,1+'설정'!$C$14*'설정'!$E$27,1)/$D33)^(-'설정'!$C$6),('설정'!$C$27*IF($A33&gt;=31,1+'설정'!$C$14*'설정'!$E$27,1)/$D33)^(-'설정'!$C$7)),0))</f>
        <v/>
      </c>
      <c r="N33" s="8">
        <f>IF($E33*'설정'!$C$5*IF(('설정'!$C$28*IF($A33&gt;=31,1+'설정'!$C$14*'설정'!$E$28,1)/$D33)&lt;1,('설정'!$C$28*IF($A33&gt;=31,1+'설정'!$C$14*'설정'!$E$28,1)/$D33)^(-'설정'!$C$6),('설정'!$C$28*IF($A33&gt;=31,1+'설정'!$C$14*'설정'!$E$28,1)/$D33)^(-'설정'!$C$7))&gt;('설정'!$C$4+'설정'!$F$28),"실패",ROUND($E33*'설정'!$C$5*IF(('설정'!$C$28*IF($A33&gt;=31,1+'설정'!$C$14*'설정'!$E$28,1)/$D33)&lt;1,('설정'!$C$28*IF($A33&gt;=31,1+'설정'!$C$14*'설정'!$E$28,1)/$D33)^(-'설정'!$C$6),('설정'!$C$28*IF($A33&gt;=31,1+'설정'!$C$14*'설정'!$E$28,1)/$D33)^(-'설정'!$C$7)),0))</f>
        <v/>
      </c>
      <c r="O33" s="8">
        <f>IF($E33*'설정'!$C$5*IF(('설정'!$C$29*IF($A33&gt;=31,1+'설정'!$C$14*'설정'!$E$29,1)/$D33)&lt;1,('설정'!$C$29*IF($A33&gt;=31,1+'설정'!$C$14*'설정'!$E$29,1)/$D33)^(-'설정'!$C$6),('설정'!$C$29*IF($A33&gt;=31,1+'설정'!$C$14*'설정'!$E$29,1)/$D33)^(-'설정'!$C$7))&gt;('설정'!$C$4+'설정'!$F$29),"실패",ROUND($E33*'설정'!$C$5*IF(('설정'!$C$29*IF($A33&gt;=31,1+'설정'!$C$14*'설정'!$E$29,1)/$D33)&lt;1,('설정'!$C$29*IF($A33&gt;=31,1+'설정'!$C$14*'설정'!$E$29,1)/$D33)^(-'설정'!$C$6),('설정'!$C$29*IF($A33&gt;=31,1+'설정'!$C$14*'설정'!$E$29,1)/$D33)^(-'설정'!$C$7)),0))</f>
        <v/>
      </c>
      <c r="P33" s="8">
        <f>IF($E33*'설정'!$C$5*IF(('설정'!$C$30*IF($A33&gt;=31,1+'설정'!$C$14*'설정'!$E$30,1)/$D33)&lt;1,('설정'!$C$30*IF($A33&gt;=31,1+'설정'!$C$14*'설정'!$E$30,1)/$D33)^(-'설정'!$C$6),('설정'!$C$30*IF($A33&gt;=31,1+'설정'!$C$14*'설정'!$E$30,1)/$D33)^(-'설정'!$C$7))&gt;('설정'!$C$4+'설정'!$F$30),"실패",ROUND($E33*'설정'!$C$5*IF(('설정'!$C$30*IF($A33&gt;=31,1+'설정'!$C$14*'설정'!$E$30,1)/$D33)&lt;1,('설정'!$C$30*IF($A33&gt;=31,1+'설정'!$C$14*'설정'!$E$30,1)/$D33)^(-'설정'!$C$6),('설정'!$C$30*IF($A33&gt;=31,1+'설정'!$C$14*'설정'!$E$30,1)/$D33)^(-'설정'!$C$7)),0))</f>
        <v/>
      </c>
      <c r="Q33" s="8">
        <f>IF($E33*'설정'!$C$5*IF(('설정'!$C$31*IF($A33&gt;=31,1+'설정'!$C$14*'설정'!$E$31,1)/$D33)&lt;1,('설정'!$C$31*IF($A33&gt;=31,1+'설정'!$C$14*'설정'!$E$31,1)/$D33)^(-'설정'!$C$6),('설정'!$C$31*IF($A33&gt;=31,1+'설정'!$C$14*'설정'!$E$31,1)/$D33)^(-'설정'!$C$7))&gt;('설정'!$C$4+'설정'!$F$31),"실패",ROUND($E33*'설정'!$C$5*IF(('설정'!$C$31*IF($A33&gt;=31,1+'설정'!$C$14*'설정'!$E$31,1)/$D33)&lt;1,('설정'!$C$31*IF($A33&gt;=31,1+'설정'!$C$14*'설정'!$E$31,1)/$D33)^(-'설정'!$C$6),('설정'!$C$31*IF($A33&gt;=31,1+'설정'!$C$14*'설정'!$E$31,1)/$D33)^(-'설정'!$C$7)),0))</f>
        <v/>
      </c>
      <c r="R33" s="8">
        <f>IF($E33*'설정'!$C$5*IF(('설정'!$C$32*IF($A33&gt;=31,1+'설정'!$C$14*'설정'!$E$32,1)/$D33)&lt;1,('설정'!$C$32*IF($A33&gt;=31,1+'설정'!$C$14*'설정'!$E$32,1)/$D33)^(-'설정'!$C$6),('설정'!$C$32*IF($A33&gt;=31,1+'설정'!$C$14*'설정'!$E$32,1)/$D33)^(-'설정'!$C$7))&gt;('설정'!$C$4+'설정'!$F$32),"실패",ROUND($E33*'설정'!$C$5*IF(('설정'!$C$32*IF($A33&gt;=31,1+'설정'!$C$14*'설정'!$E$32,1)/$D33)&lt;1,('설정'!$C$32*IF($A33&gt;=31,1+'설정'!$C$14*'설정'!$E$32,1)/$D33)^(-'설정'!$C$6),('설정'!$C$32*IF($A33&gt;=31,1+'설정'!$C$14*'설정'!$E$32,1)/$D33)^(-'설정'!$C$7)),0))</f>
        <v/>
      </c>
      <c r="S33" s="8">
        <f>IF($E33*'설정'!$C$5*IF(('설정'!$C$33*IF($A33&gt;=31,1+'설정'!$C$14*'설정'!$E$33,1)/$D33)&lt;1,('설정'!$C$33*IF($A33&gt;=31,1+'설정'!$C$14*'설정'!$E$33,1)/$D33)^(-'설정'!$C$6),('설정'!$C$33*IF($A33&gt;=31,1+'설정'!$C$14*'설정'!$E$33,1)/$D33)^(-'설정'!$C$7))&gt;('설정'!$C$4+'설정'!$F$33),"실패",ROUND($E33*'설정'!$C$5*IF(('설정'!$C$33*IF($A33&gt;=31,1+'설정'!$C$14*'설정'!$E$33,1)/$D33)&lt;1,('설정'!$C$33*IF($A33&gt;=31,1+'설정'!$C$14*'설정'!$E$33,1)/$D33)^(-'설정'!$C$6),('설정'!$C$33*IF($A33&gt;=31,1+'설정'!$C$14*'설정'!$E$33,1)/$D33)^(-'설정'!$C$7)),0))</f>
        <v/>
      </c>
      <c r="T33" s="8">
        <f>IF($E33*'설정'!$C$5*IF(('설정'!$C$34*IF($A33&gt;=31,1+'설정'!$C$14*'설정'!$E$34,1)/$D33)&lt;1,('설정'!$C$34*IF($A33&gt;=31,1+'설정'!$C$14*'설정'!$E$34,1)/$D33)^(-'설정'!$C$6),('설정'!$C$34*IF($A33&gt;=31,1+'설정'!$C$14*'설정'!$E$34,1)/$D33)^(-'설정'!$C$7))&gt;('설정'!$C$4+'설정'!$F$34),"실패",ROUND($E33*'설정'!$C$5*IF(('설정'!$C$34*IF($A33&gt;=31,1+'설정'!$C$14*'설정'!$E$34,1)/$D33)&lt;1,('설정'!$C$34*IF($A33&gt;=31,1+'설정'!$C$14*'설정'!$E$34,1)/$D33)^(-'설정'!$C$6),('설정'!$C$34*IF($A33&gt;=31,1+'설정'!$C$14*'설정'!$E$34,1)/$D33)^(-'설정'!$C$7)),0))</f>
        <v/>
      </c>
      <c r="U33" s="8">
        <f>IF($E33*'설정'!$C$5*IF(('설정'!$C$35*IF($A33&gt;=31,1+'설정'!$C$14*'설정'!$E$35,1)/$D33)&lt;1,('설정'!$C$35*IF($A33&gt;=31,1+'설정'!$C$14*'설정'!$E$35,1)/$D33)^(-'설정'!$C$6),('설정'!$C$35*IF($A33&gt;=31,1+'설정'!$C$14*'설정'!$E$35,1)/$D33)^(-'설정'!$C$7))&gt;('설정'!$C$4+'설정'!$F$35),"실패",ROUND($E33*'설정'!$C$5*IF(('설정'!$C$35*IF($A33&gt;=31,1+'설정'!$C$14*'설정'!$E$35,1)/$D33)&lt;1,('설정'!$C$35*IF($A33&gt;=31,1+'설정'!$C$14*'설정'!$E$35,1)/$D33)^(-'설정'!$C$6),('설정'!$C$35*IF($A33&gt;=31,1+'설정'!$C$14*'설정'!$E$35,1)/$D33)^(-'설정'!$C$7)),0))</f>
        <v/>
      </c>
      <c r="V33" s="8">
        <f>IF($E33*'설정'!$C$5*IF(('설정'!$C$36*IF($A33&gt;=31,1+'설정'!$C$14*'설정'!$E$36,1)/$D33)&lt;1,('설정'!$C$36*IF($A33&gt;=31,1+'설정'!$C$14*'설정'!$E$36,1)/$D33)^(-'설정'!$C$6),('설정'!$C$36*IF($A33&gt;=31,1+'설정'!$C$14*'설정'!$E$36,1)/$D33)^(-'설정'!$C$7))&gt;('설정'!$C$4+'설정'!$F$36),"실패",ROUND($E33*'설정'!$C$5*IF(('설정'!$C$36*IF($A33&gt;=31,1+'설정'!$C$14*'설정'!$E$36,1)/$D33)&lt;1,('설정'!$C$36*IF($A33&gt;=31,1+'설정'!$C$14*'설정'!$E$36,1)/$D33)^(-'설정'!$C$6),('설정'!$C$36*IF($A33&gt;=31,1+'설정'!$C$14*'설정'!$E$36,1)/$D33)^(-'설정'!$C$7)),0))</f>
        <v/>
      </c>
      <c r="W33" s="8">
        <f>IF($E33*'설정'!$C$5*IF(('설정'!$C$37*IF($A33&gt;=31,1+'설정'!$C$14*'설정'!$E$37,1)/$D33)&lt;1,('설정'!$C$37*IF($A33&gt;=31,1+'설정'!$C$14*'설정'!$E$37,1)/$D33)^(-'설정'!$C$6),('설정'!$C$37*IF($A33&gt;=31,1+'설정'!$C$14*'설정'!$E$37,1)/$D33)^(-'설정'!$C$7))&gt;('설정'!$C$4+'설정'!$F$37),"실패",ROUND($E33*'설정'!$C$5*IF(('설정'!$C$37*IF($A33&gt;=31,1+'설정'!$C$14*'설정'!$E$37,1)/$D33)&lt;1,('설정'!$C$37*IF($A33&gt;=31,1+'설정'!$C$14*'설정'!$E$37,1)/$D33)^(-'설정'!$C$6),('설정'!$C$37*IF($A33&gt;=31,1+'설정'!$C$14*'설정'!$E$37,1)/$D33)^(-'설정'!$C$7)),0))</f>
        <v/>
      </c>
    </row>
    <row r="34">
      <c r="A34" t="n">
        <v>32</v>
      </c>
      <c r="B34" t="inlineStr">
        <is>
          <t>쉬움</t>
        </is>
      </c>
      <c r="C34" t="inlineStr"/>
      <c r="D34" s="6" t="n">
        <v>286000</v>
      </c>
      <c r="E34" t="n">
        <v>72</v>
      </c>
      <c r="F34" s="6" t="n">
        <v>5720</v>
      </c>
      <c r="G34" t="n">
        <v>31</v>
      </c>
      <c r="H34" s="8">
        <f>IF($E34*'설정'!$C$5*IF(('설정'!$C$22*IF($A34&gt;=31,1+'설정'!$C$14*'설정'!$E$22,1)/$D34)&lt;1,('설정'!$C$22*IF($A34&gt;=31,1+'설정'!$C$14*'설정'!$E$22,1)/$D34)^(-'설정'!$C$6),('설정'!$C$22*IF($A34&gt;=31,1+'설정'!$C$14*'설정'!$E$22,1)/$D34)^(-'설정'!$C$7))&gt;('설정'!$C$4+'설정'!$F$22),"실패",ROUND($E34*'설정'!$C$5*IF(('설정'!$C$22*IF($A34&gt;=31,1+'설정'!$C$14*'설정'!$E$22,1)/$D34)&lt;1,('설정'!$C$22*IF($A34&gt;=31,1+'설정'!$C$14*'설정'!$E$22,1)/$D34)^(-'설정'!$C$6),('설정'!$C$22*IF($A34&gt;=31,1+'설정'!$C$14*'설정'!$E$22,1)/$D34)^(-'설정'!$C$7)),0))</f>
        <v/>
      </c>
      <c r="I34" s="8">
        <f>IF($E34*'설정'!$C$5*IF(('설정'!$C$23*IF($A34&gt;=31,1+'설정'!$C$14*'설정'!$E$23,1)/$D34)&lt;1,('설정'!$C$23*IF($A34&gt;=31,1+'설정'!$C$14*'설정'!$E$23,1)/$D34)^(-'설정'!$C$6),('설정'!$C$23*IF($A34&gt;=31,1+'설정'!$C$14*'설정'!$E$23,1)/$D34)^(-'설정'!$C$7))&gt;('설정'!$C$4+'설정'!$F$23),"실패",ROUND($E34*'설정'!$C$5*IF(('설정'!$C$23*IF($A34&gt;=31,1+'설정'!$C$14*'설정'!$E$23,1)/$D34)&lt;1,('설정'!$C$23*IF($A34&gt;=31,1+'설정'!$C$14*'설정'!$E$23,1)/$D34)^(-'설정'!$C$6),('설정'!$C$23*IF($A34&gt;=31,1+'설정'!$C$14*'설정'!$E$23,1)/$D34)^(-'설정'!$C$7)),0))</f>
        <v/>
      </c>
      <c r="J34" s="8">
        <f>IF($E34*'설정'!$C$5*IF(('설정'!$C$24*IF($A34&gt;=31,1+'설정'!$C$14*'설정'!$E$24,1)/$D34)&lt;1,('설정'!$C$24*IF($A34&gt;=31,1+'설정'!$C$14*'설정'!$E$24,1)/$D34)^(-'설정'!$C$6),('설정'!$C$24*IF($A34&gt;=31,1+'설정'!$C$14*'설정'!$E$24,1)/$D34)^(-'설정'!$C$7))&gt;('설정'!$C$4+'설정'!$F$24),"실패",ROUND($E34*'설정'!$C$5*IF(('설정'!$C$24*IF($A34&gt;=31,1+'설정'!$C$14*'설정'!$E$24,1)/$D34)&lt;1,('설정'!$C$24*IF($A34&gt;=31,1+'설정'!$C$14*'설정'!$E$24,1)/$D34)^(-'설정'!$C$6),('설정'!$C$24*IF($A34&gt;=31,1+'설정'!$C$14*'설정'!$E$24,1)/$D34)^(-'설정'!$C$7)),0))</f>
        <v/>
      </c>
      <c r="K34" s="8">
        <f>IF($E34*'설정'!$C$5*IF(('설정'!$C$25*IF($A34&gt;=31,1+'설정'!$C$14*'설정'!$E$25,1)/$D34)&lt;1,('설정'!$C$25*IF($A34&gt;=31,1+'설정'!$C$14*'설정'!$E$25,1)/$D34)^(-'설정'!$C$6),('설정'!$C$25*IF($A34&gt;=31,1+'설정'!$C$14*'설정'!$E$25,1)/$D34)^(-'설정'!$C$7))&gt;('설정'!$C$4+'설정'!$F$25),"실패",ROUND($E34*'설정'!$C$5*IF(('설정'!$C$25*IF($A34&gt;=31,1+'설정'!$C$14*'설정'!$E$25,1)/$D34)&lt;1,('설정'!$C$25*IF($A34&gt;=31,1+'설정'!$C$14*'설정'!$E$25,1)/$D34)^(-'설정'!$C$6),('설정'!$C$25*IF($A34&gt;=31,1+'설정'!$C$14*'설정'!$E$25,1)/$D34)^(-'설정'!$C$7)),0))</f>
        <v/>
      </c>
      <c r="L34" s="8">
        <f>IF($E34*'설정'!$C$5*IF(('설정'!$C$26*IF($A34&gt;=31,1+'설정'!$C$14*'설정'!$E$26,1)/$D34)&lt;1,('설정'!$C$26*IF($A34&gt;=31,1+'설정'!$C$14*'설정'!$E$26,1)/$D34)^(-'설정'!$C$6),('설정'!$C$26*IF($A34&gt;=31,1+'설정'!$C$14*'설정'!$E$26,1)/$D34)^(-'설정'!$C$7))&gt;('설정'!$C$4+'설정'!$F$26),"실패",ROUND($E34*'설정'!$C$5*IF(('설정'!$C$26*IF($A34&gt;=31,1+'설정'!$C$14*'설정'!$E$26,1)/$D34)&lt;1,('설정'!$C$26*IF($A34&gt;=31,1+'설정'!$C$14*'설정'!$E$26,1)/$D34)^(-'설정'!$C$6),('설정'!$C$26*IF($A34&gt;=31,1+'설정'!$C$14*'설정'!$E$26,1)/$D34)^(-'설정'!$C$7)),0))</f>
        <v/>
      </c>
      <c r="M34" s="8">
        <f>IF($E34*'설정'!$C$5*IF(('설정'!$C$27*IF($A34&gt;=31,1+'설정'!$C$14*'설정'!$E$27,1)/$D34)&lt;1,('설정'!$C$27*IF($A34&gt;=31,1+'설정'!$C$14*'설정'!$E$27,1)/$D34)^(-'설정'!$C$6),('설정'!$C$27*IF($A34&gt;=31,1+'설정'!$C$14*'설정'!$E$27,1)/$D34)^(-'설정'!$C$7))&gt;('설정'!$C$4+'설정'!$F$27),"실패",ROUND($E34*'설정'!$C$5*IF(('설정'!$C$27*IF($A34&gt;=31,1+'설정'!$C$14*'설정'!$E$27,1)/$D34)&lt;1,('설정'!$C$27*IF($A34&gt;=31,1+'설정'!$C$14*'설정'!$E$27,1)/$D34)^(-'설정'!$C$6),('설정'!$C$27*IF($A34&gt;=31,1+'설정'!$C$14*'설정'!$E$27,1)/$D34)^(-'설정'!$C$7)),0))</f>
        <v/>
      </c>
      <c r="N34" s="8">
        <f>IF($E34*'설정'!$C$5*IF(('설정'!$C$28*IF($A34&gt;=31,1+'설정'!$C$14*'설정'!$E$28,1)/$D34)&lt;1,('설정'!$C$28*IF($A34&gt;=31,1+'설정'!$C$14*'설정'!$E$28,1)/$D34)^(-'설정'!$C$6),('설정'!$C$28*IF($A34&gt;=31,1+'설정'!$C$14*'설정'!$E$28,1)/$D34)^(-'설정'!$C$7))&gt;('설정'!$C$4+'설정'!$F$28),"실패",ROUND($E34*'설정'!$C$5*IF(('설정'!$C$28*IF($A34&gt;=31,1+'설정'!$C$14*'설정'!$E$28,1)/$D34)&lt;1,('설정'!$C$28*IF($A34&gt;=31,1+'설정'!$C$14*'설정'!$E$28,1)/$D34)^(-'설정'!$C$6),('설정'!$C$28*IF($A34&gt;=31,1+'설정'!$C$14*'설정'!$E$28,1)/$D34)^(-'설정'!$C$7)),0))</f>
        <v/>
      </c>
      <c r="O34" s="8">
        <f>IF($E34*'설정'!$C$5*IF(('설정'!$C$29*IF($A34&gt;=31,1+'설정'!$C$14*'설정'!$E$29,1)/$D34)&lt;1,('설정'!$C$29*IF($A34&gt;=31,1+'설정'!$C$14*'설정'!$E$29,1)/$D34)^(-'설정'!$C$6),('설정'!$C$29*IF($A34&gt;=31,1+'설정'!$C$14*'설정'!$E$29,1)/$D34)^(-'설정'!$C$7))&gt;('설정'!$C$4+'설정'!$F$29),"실패",ROUND($E34*'설정'!$C$5*IF(('설정'!$C$29*IF($A34&gt;=31,1+'설정'!$C$14*'설정'!$E$29,1)/$D34)&lt;1,('설정'!$C$29*IF($A34&gt;=31,1+'설정'!$C$14*'설정'!$E$29,1)/$D34)^(-'설정'!$C$6),('설정'!$C$29*IF($A34&gt;=31,1+'설정'!$C$14*'설정'!$E$29,1)/$D34)^(-'설정'!$C$7)),0))</f>
        <v/>
      </c>
      <c r="P34" s="8">
        <f>IF($E34*'설정'!$C$5*IF(('설정'!$C$30*IF($A34&gt;=31,1+'설정'!$C$14*'설정'!$E$30,1)/$D34)&lt;1,('설정'!$C$30*IF($A34&gt;=31,1+'설정'!$C$14*'설정'!$E$30,1)/$D34)^(-'설정'!$C$6),('설정'!$C$30*IF($A34&gt;=31,1+'설정'!$C$14*'설정'!$E$30,1)/$D34)^(-'설정'!$C$7))&gt;('설정'!$C$4+'설정'!$F$30),"실패",ROUND($E34*'설정'!$C$5*IF(('설정'!$C$30*IF($A34&gt;=31,1+'설정'!$C$14*'설정'!$E$30,1)/$D34)&lt;1,('설정'!$C$30*IF($A34&gt;=31,1+'설정'!$C$14*'설정'!$E$30,1)/$D34)^(-'설정'!$C$6),('설정'!$C$30*IF($A34&gt;=31,1+'설정'!$C$14*'설정'!$E$30,1)/$D34)^(-'설정'!$C$7)),0))</f>
        <v/>
      </c>
      <c r="Q34" s="8">
        <f>IF($E34*'설정'!$C$5*IF(('설정'!$C$31*IF($A34&gt;=31,1+'설정'!$C$14*'설정'!$E$31,1)/$D34)&lt;1,('설정'!$C$31*IF($A34&gt;=31,1+'설정'!$C$14*'설정'!$E$31,1)/$D34)^(-'설정'!$C$6),('설정'!$C$31*IF($A34&gt;=31,1+'설정'!$C$14*'설정'!$E$31,1)/$D34)^(-'설정'!$C$7))&gt;('설정'!$C$4+'설정'!$F$31),"실패",ROUND($E34*'설정'!$C$5*IF(('설정'!$C$31*IF($A34&gt;=31,1+'설정'!$C$14*'설정'!$E$31,1)/$D34)&lt;1,('설정'!$C$31*IF($A34&gt;=31,1+'설정'!$C$14*'설정'!$E$31,1)/$D34)^(-'설정'!$C$6),('설정'!$C$31*IF($A34&gt;=31,1+'설정'!$C$14*'설정'!$E$31,1)/$D34)^(-'설정'!$C$7)),0))</f>
        <v/>
      </c>
      <c r="R34" s="8">
        <f>IF($E34*'설정'!$C$5*IF(('설정'!$C$32*IF($A34&gt;=31,1+'설정'!$C$14*'설정'!$E$32,1)/$D34)&lt;1,('설정'!$C$32*IF($A34&gt;=31,1+'설정'!$C$14*'설정'!$E$32,1)/$D34)^(-'설정'!$C$6),('설정'!$C$32*IF($A34&gt;=31,1+'설정'!$C$14*'설정'!$E$32,1)/$D34)^(-'설정'!$C$7))&gt;('설정'!$C$4+'설정'!$F$32),"실패",ROUND($E34*'설정'!$C$5*IF(('설정'!$C$32*IF($A34&gt;=31,1+'설정'!$C$14*'설정'!$E$32,1)/$D34)&lt;1,('설정'!$C$32*IF($A34&gt;=31,1+'설정'!$C$14*'설정'!$E$32,1)/$D34)^(-'설정'!$C$6),('설정'!$C$32*IF($A34&gt;=31,1+'설정'!$C$14*'설정'!$E$32,1)/$D34)^(-'설정'!$C$7)),0))</f>
        <v/>
      </c>
      <c r="S34" s="8">
        <f>IF($E34*'설정'!$C$5*IF(('설정'!$C$33*IF($A34&gt;=31,1+'설정'!$C$14*'설정'!$E$33,1)/$D34)&lt;1,('설정'!$C$33*IF($A34&gt;=31,1+'설정'!$C$14*'설정'!$E$33,1)/$D34)^(-'설정'!$C$6),('설정'!$C$33*IF($A34&gt;=31,1+'설정'!$C$14*'설정'!$E$33,1)/$D34)^(-'설정'!$C$7))&gt;('설정'!$C$4+'설정'!$F$33),"실패",ROUND($E34*'설정'!$C$5*IF(('설정'!$C$33*IF($A34&gt;=31,1+'설정'!$C$14*'설정'!$E$33,1)/$D34)&lt;1,('설정'!$C$33*IF($A34&gt;=31,1+'설정'!$C$14*'설정'!$E$33,1)/$D34)^(-'설정'!$C$6),('설정'!$C$33*IF($A34&gt;=31,1+'설정'!$C$14*'설정'!$E$33,1)/$D34)^(-'설정'!$C$7)),0))</f>
        <v/>
      </c>
      <c r="T34" s="8">
        <f>IF($E34*'설정'!$C$5*IF(('설정'!$C$34*IF($A34&gt;=31,1+'설정'!$C$14*'설정'!$E$34,1)/$D34)&lt;1,('설정'!$C$34*IF($A34&gt;=31,1+'설정'!$C$14*'설정'!$E$34,1)/$D34)^(-'설정'!$C$6),('설정'!$C$34*IF($A34&gt;=31,1+'설정'!$C$14*'설정'!$E$34,1)/$D34)^(-'설정'!$C$7))&gt;('설정'!$C$4+'설정'!$F$34),"실패",ROUND($E34*'설정'!$C$5*IF(('설정'!$C$34*IF($A34&gt;=31,1+'설정'!$C$14*'설정'!$E$34,1)/$D34)&lt;1,('설정'!$C$34*IF($A34&gt;=31,1+'설정'!$C$14*'설정'!$E$34,1)/$D34)^(-'설정'!$C$6),('설정'!$C$34*IF($A34&gt;=31,1+'설정'!$C$14*'설정'!$E$34,1)/$D34)^(-'설정'!$C$7)),0))</f>
        <v/>
      </c>
      <c r="U34" s="8">
        <f>IF($E34*'설정'!$C$5*IF(('설정'!$C$35*IF($A34&gt;=31,1+'설정'!$C$14*'설정'!$E$35,1)/$D34)&lt;1,('설정'!$C$35*IF($A34&gt;=31,1+'설정'!$C$14*'설정'!$E$35,1)/$D34)^(-'설정'!$C$6),('설정'!$C$35*IF($A34&gt;=31,1+'설정'!$C$14*'설정'!$E$35,1)/$D34)^(-'설정'!$C$7))&gt;('설정'!$C$4+'설정'!$F$35),"실패",ROUND($E34*'설정'!$C$5*IF(('설정'!$C$35*IF($A34&gt;=31,1+'설정'!$C$14*'설정'!$E$35,1)/$D34)&lt;1,('설정'!$C$35*IF($A34&gt;=31,1+'설정'!$C$14*'설정'!$E$35,1)/$D34)^(-'설정'!$C$6),('설정'!$C$35*IF($A34&gt;=31,1+'설정'!$C$14*'설정'!$E$35,1)/$D34)^(-'설정'!$C$7)),0))</f>
        <v/>
      </c>
      <c r="V34" s="8">
        <f>IF($E34*'설정'!$C$5*IF(('설정'!$C$36*IF($A34&gt;=31,1+'설정'!$C$14*'설정'!$E$36,1)/$D34)&lt;1,('설정'!$C$36*IF($A34&gt;=31,1+'설정'!$C$14*'설정'!$E$36,1)/$D34)^(-'설정'!$C$6),('설정'!$C$36*IF($A34&gt;=31,1+'설정'!$C$14*'설정'!$E$36,1)/$D34)^(-'설정'!$C$7))&gt;('설정'!$C$4+'설정'!$F$36),"실패",ROUND($E34*'설정'!$C$5*IF(('설정'!$C$36*IF($A34&gt;=31,1+'설정'!$C$14*'설정'!$E$36,1)/$D34)&lt;1,('설정'!$C$36*IF($A34&gt;=31,1+'설정'!$C$14*'설정'!$E$36,1)/$D34)^(-'설정'!$C$6),('설정'!$C$36*IF($A34&gt;=31,1+'설정'!$C$14*'설정'!$E$36,1)/$D34)^(-'설정'!$C$7)),0))</f>
        <v/>
      </c>
      <c r="W34" s="8">
        <f>IF($E34*'설정'!$C$5*IF(('설정'!$C$37*IF($A34&gt;=31,1+'설정'!$C$14*'설정'!$E$37,1)/$D34)&lt;1,('설정'!$C$37*IF($A34&gt;=31,1+'설정'!$C$14*'설정'!$E$37,1)/$D34)^(-'설정'!$C$6),('설정'!$C$37*IF($A34&gt;=31,1+'설정'!$C$14*'설정'!$E$37,1)/$D34)^(-'설정'!$C$7))&gt;('설정'!$C$4+'설정'!$F$37),"실패",ROUND($E34*'설정'!$C$5*IF(('설정'!$C$37*IF($A34&gt;=31,1+'설정'!$C$14*'설정'!$E$37,1)/$D34)&lt;1,('설정'!$C$37*IF($A34&gt;=31,1+'설정'!$C$14*'설정'!$E$37,1)/$D34)^(-'설정'!$C$6),('설정'!$C$37*IF($A34&gt;=31,1+'설정'!$C$14*'설정'!$E$37,1)/$D34)^(-'설정'!$C$7)),0))</f>
        <v/>
      </c>
    </row>
    <row r="35">
      <c r="A35" t="n">
        <v>33</v>
      </c>
      <c r="B35" t="inlineStr">
        <is>
          <t>보통</t>
        </is>
      </c>
      <c r="C35" t="inlineStr"/>
      <c r="D35" s="6" t="n">
        <v>306000</v>
      </c>
      <c r="E35" t="n">
        <v>72</v>
      </c>
      <c r="F35" s="6" t="n">
        <v>6120</v>
      </c>
      <c r="G35" t="n">
        <v>31</v>
      </c>
      <c r="H35" s="8">
        <f>IF($E35*'설정'!$C$5*IF(('설정'!$C$22*IF($A35&gt;=31,1+'설정'!$C$14*'설정'!$E$22,1)/$D35)&lt;1,('설정'!$C$22*IF($A35&gt;=31,1+'설정'!$C$14*'설정'!$E$22,1)/$D35)^(-'설정'!$C$6),('설정'!$C$22*IF($A35&gt;=31,1+'설정'!$C$14*'설정'!$E$22,1)/$D35)^(-'설정'!$C$7))&gt;('설정'!$C$4+'설정'!$F$22),"실패",ROUND($E35*'설정'!$C$5*IF(('설정'!$C$22*IF($A35&gt;=31,1+'설정'!$C$14*'설정'!$E$22,1)/$D35)&lt;1,('설정'!$C$22*IF($A35&gt;=31,1+'설정'!$C$14*'설정'!$E$22,1)/$D35)^(-'설정'!$C$6),('설정'!$C$22*IF($A35&gt;=31,1+'설정'!$C$14*'설정'!$E$22,1)/$D35)^(-'설정'!$C$7)),0))</f>
        <v/>
      </c>
      <c r="I35" s="8">
        <f>IF($E35*'설정'!$C$5*IF(('설정'!$C$23*IF($A35&gt;=31,1+'설정'!$C$14*'설정'!$E$23,1)/$D35)&lt;1,('설정'!$C$23*IF($A35&gt;=31,1+'설정'!$C$14*'설정'!$E$23,1)/$D35)^(-'설정'!$C$6),('설정'!$C$23*IF($A35&gt;=31,1+'설정'!$C$14*'설정'!$E$23,1)/$D35)^(-'설정'!$C$7))&gt;('설정'!$C$4+'설정'!$F$23),"실패",ROUND($E35*'설정'!$C$5*IF(('설정'!$C$23*IF($A35&gt;=31,1+'설정'!$C$14*'설정'!$E$23,1)/$D35)&lt;1,('설정'!$C$23*IF($A35&gt;=31,1+'설정'!$C$14*'설정'!$E$23,1)/$D35)^(-'설정'!$C$6),('설정'!$C$23*IF($A35&gt;=31,1+'설정'!$C$14*'설정'!$E$23,1)/$D35)^(-'설정'!$C$7)),0))</f>
        <v/>
      </c>
      <c r="J35" s="8">
        <f>IF($E35*'설정'!$C$5*IF(('설정'!$C$24*IF($A35&gt;=31,1+'설정'!$C$14*'설정'!$E$24,1)/$D35)&lt;1,('설정'!$C$24*IF($A35&gt;=31,1+'설정'!$C$14*'설정'!$E$24,1)/$D35)^(-'설정'!$C$6),('설정'!$C$24*IF($A35&gt;=31,1+'설정'!$C$14*'설정'!$E$24,1)/$D35)^(-'설정'!$C$7))&gt;('설정'!$C$4+'설정'!$F$24),"실패",ROUND($E35*'설정'!$C$5*IF(('설정'!$C$24*IF($A35&gt;=31,1+'설정'!$C$14*'설정'!$E$24,1)/$D35)&lt;1,('설정'!$C$24*IF($A35&gt;=31,1+'설정'!$C$14*'설정'!$E$24,1)/$D35)^(-'설정'!$C$6),('설정'!$C$24*IF($A35&gt;=31,1+'설정'!$C$14*'설정'!$E$24,1)/$D35)^(-'설정'!$C$7)),0))</f>
        <v/>
      </c>
      <c r="K35" s="8">
        <f>IF($E35*'설정'!$C$5*IF(('설정'!$C$25*IF($A35&gt;=31,1+'설정'!$C$14*'설정'!$E$25,1)/$D35)&lt;1,('설정'!$C$25*IF($A35&gt;=31,1+'설정'!$C$14*'설정'!$E$25,1)/$D35)^(-'설정'!$C$6),('설정'!$C$25*IF($A35&gt;=31,1+'설정'!$C$14*'설정'!$E$25,1)/$D35)^(-'설정'!$C$7))&gt;('설정'!$C$4+'설정'!$F$25),"실패",ROUND($E35*'설정'!$C$5*IF(('설정'!$C$25*IF($A35&gt;=31,1+'설정'!$C$14*'설정'!$E$25,1)/$D35)&lt;1,('설정'!$C$25*IF($A35&gt;=31,1+'설정'!$C$14*'설정'!$E$25,1)/$D35)^(-'설정'!$C$6),('설정'!$C$25*IF($A35&gt;=31,1+'설정'!$C$14*'설정'!$E$25,1)/$D35)^(-'설정'!$C$7)),0))</f>
        <v/>
      </c>
      <c r="L35" s="8">
        <f>IF($E35*'설정'!$C$5*IF(('설정'!$C$26*IF($A35&gt;=31,1+'설정'!$C$14*'설정'!$E$26,1)/$D35)&lt;1,('설정'!$C$26*IF($A35&gt;=31,1+'설정'!$C$14*'설정'!$E$26,1)/$D35)^(-'설정'!$C$6),('설정'!$C$26*IF($A35&gt;=31,1+'설정'!$C$14*'설정'!$E$26,1)/$D35)^(-'설정'!$C$7))&gt;('설정'!$C$4+'설정'!$F$26),"실패",ROUND($E35*'설정'!$C$5*IF(('설정'!$C$26*IF($A35&gt;=31,1+'설정'!$C$14*'설정'!$E$26,1)/$D35)&lt;1,('설정'!$C$26*IF($A35&gt;=31,1+'설정'!$C$14*'설정'!$E$26,1)/$D35)^(-'설정'!$C$6),('설정'!$C$26*IF($A35&gt;=31,1+'설정'!$C$14*'설정'!$E$26,1)/$D35)^(-'설정'!$C$7)),0))</f>
        <v/>
      </c>
      <c r="M35" s="8">
        <f>IF($E35*'설정'!$C$5*IF(('설정'!$C$27*IF($A35&gt;=31,1+'설정'!$C$14*'설정'!$E$27,1)/$D35)&lt;1,('설정'!$C$27*IF($A35&gt;=31,1+'설정'!$C$14*'설정'!$E$27,1)/$D35)^(-'설정'!$C$6),('설정'!$C$27*IF($A35&gt;=31,1+'설정'!$C$14*'설정'!$E$27,1)/$D35)^(-'설정'!$C$7))&gt;('설정'!$C$4+'설정'!$F$27),"실패",ROUND($E35*'설정'!$C$5*IF(('설정'!$C$27*IF($A35&gt;=31,1+'설정'!$C$14*'설정'!$E$27,1)/$D35)&lt;1,('설정'!$C$27*IF($A35&gt;=31,1+'설정'!$C$14*'설정'!$E$27,1)/$D35)^(-'설정'!$C$6),('설정'!$C$27*IF($A35&gt;=31,1+'설정'!$C$14*'설정'!$E$27,1)/$D35)^(-'설정'!$C$7)),0))</f>
        <v/>
      </c>
      <c r="N35" s="8">
        <f>IF($E35*'설정'!$C$5*IF(('설정'!$C$28*IF($A35&gt;=31,1+'설정'!$C$14*'설정'!$E$28,1)/$D35)&lt;1,('설정'!$C$28*IF($A35&gt;=31,1+'설정'!$C$14*'설정'!$E$28,1)/$D35)^(-'설정'!$C$6),('설정'!$C$28*IF($A35&gt;=31,1+'설정'!$C$14*'설정'!$E$28,1)/$D35)^(-'설정'!$C$7))&gt;('설정'!$C$4+'설정'!$F$28),"실패",ROUND($E35*'설정'!$C$5*IF(('설정'!$C$28*IF($A35&gt;=31,1+'설정'!$C$14*'설정'!$E$28,1)/$D35)&lt;1,('설정'!$C$28*IF($A35&gt;=31,1+'설정'!$C$14*'설정'!$E$28,1)/$D35)^(-'설정'!$C$6),('설정'!$C$28*IF($A35&gt;=31,1+'설정'!$C$14*'설정'!$E$28,1)/$D35)^(-'설정'!$C$7)),0))</f>
        <v/>
      </c>
      <c r="O35" s="8">
        <f>IF($E35*'설정'!$C$5*IF(('설정'!$C$29*IF($A35&gt;=31,1+'설정'!$C$14*'설정'!$E$29,1)/$D35)&lt;1,('설정'!$C$29*IF($A35&gt;=31,1+'설정'!$C$14*'설정'!$E$29,1)/$D35)^(-'설정'!$C$6),('설정'!$C$29*IF($A35&gt;=31,1+'설정'!$C$14*'설정'!$E$29,1)/$D35)^(-'설정'!$C$7))&gt;('설정'!$C$4+'설정'!$F$29),"실패",ROUND($E35*'설정'!$C$5*IF(('설정'!$C$29*IF($A35&gt;=31,1+'설정'!$C$14*'설정'!$E$29,1)/$D35)&lt;1,('설정'!$C$29*IF($A35&gt;=31,1+'설정'!$C$14*'설정'!$E$29,1)/$D35)^(-'설정'!$C$6),('설정'!$C$29*IF($A35&gt;=31,1+'설정'!$C$14*'설정'!$E$29,1)/$D35)^(-'설정'!$C$7)),0))</f>
        <v/>
      </c>
      <c r="P35" s="8">
        <f>IF($E35*'설정'!$C$5*IF(('설정'!$C$30*IF($A35&gt;=31,1+'설정'!$C$14*'설정'!$E$30,1)/$D35)&lt;1,('설정'!$C$30*IF($A35&gt;=31,1+'설정'!$C$14*'설정'!$E$30,1)/$D35)^(-'설정'!$C$6),('설정'!$C$30*IF($A35&gt;=31,1+'설정'!$C$14*'설정'!$E$30,1)/$D35)^(-'설정'!$C$7))&gt;('설정'!$C$4+'설정'!$F$30),"실패",ROUND($E35*'설정'!$C$5*IF(('설정'!$C$30*IF($A35&gt;=31,1+'설정'!$C$14*'설정'!$E$30,1)/$D35)&lt;1,('설정'!$C$30*IF($A35&gt;=31,1+'설정'!$C$14*'설정'!$E$30,1)/$D35)^(-'설정'!$C$6),('설정'!$C$30*IF($A35&gt;=31,1+'설정'!$C$14*'설정'!$E$30,1)/$D35)^(-'설정'!$C$7)),0))</f>
        <v/>
      </c>
      <c r="Q35" s="8">
        <f>IF($E35*'설정'!$C$5*IF(('설정'!$C$31*IF($A35&gt;=31,1+'설정'!$C$14*'설정'!$E$31,1)/$D35)&lt;1,('설정'!$C$31*IF($A35&gt;=31,1+'설정'!$C$14*'설정'!$E$31,1)/$D35)^(-'설정'!$C$6),('설정'!$C$31*IF($A35&gt;=31,1+'설정'!$C$14*'설정'!$E$31,1)/$D35)^(-'설정'!$C$7))&gt;('설정'!$C$4+'설정'!$F$31),"실패",ROUND($E35*'설정'!$C$5*IF(('설정'!$C$31*IF($A35&gt;=31,1+'설정'!$C$14*'설정'!$E$31,1)/$D35)&lt;1,('설정'!$C$31*IF($A35&gt;=31,1+'설정'!$C$14*'설정'!$E$31,1)/$D35)^(-'설정'!$C$6),('설정'!$C$31*IF($A35&gt;=31,1+'설정'!$C$14*'설정'!$E$31,1)/$D35)^(-'설정'!$C$7)),0))</f>
        <v/>
      </c>
      <c r="R35" s="8">
        <f>IF($E35*'설정'!$C$5*IF(('설정'!$C$32*IF($A35&gt;=31,1+'설정'!$C$14*'설정'!$E$32,1)/$D35)&lt;1,('설정'!$C$32*IF($A35&gt;=31,1+'설정'!$C$14*'설정'!$E$32,1)/$D35)^(-'설정'!$C$6),('설정'!$C$32*IF($A35&gt;=31,1+'설정'!$C$14*'설정'!$E$32,1)/$D35)^(-'설정'!$C$7))&gt;('설정'!$C$4+'설정'!$F$32),"실패",ROUND($E35*'설정'!$C$5*IF(('설정'!$C$32*IF($A35&gt;=31,1+'설정'!$C$14*'설정'!$E$32,1)/$D35)&lt;1,('설정'!$C$32*IF($A35&gt;=31,1+'설정'!$C$14*'설정'!$E$32,1)/$D35)^(-'설정'!$C$6),('설정'!$C$32*IF($A35&gt;=31,1+'설정'!$C$14*'설정'!$E$32,1)/$D35)^(-'설정'!$C$7)),0))</f>
        <v/>
      </c>
      <c r="S35" s="8">
        <f>IF($E35*'설정'!$C$5*IF(('설정'!$C$33*IF($A35&gt;=31,1+'설정'!$C$14*'설정'!$E$33,1)/$D35)&lt;1,('설정'!$C$33*IF($A35&gt;=31,1+'설정'!$C$14*'설정'!$E$33,1)/$D35)^(-'설정'!$C$6),('설정'!$C$33*IF($A35&gt;=31,1+'설정'!$C$14*'설정'!$E$33,1)/$D35)^(-'설정'!$C$7))&gt;('설정'!$C$4+'설정'!$F$33),"실패",ROUND($E35*'설정'!$C$5*IF(('설정'!$C$33*IF($A35&gt;=31,1+'설정'!$C$14*'설정'!$E$33,1)/$D35)&lt;1,('설정'!$C$33*IF($A35&gt;=31,1+'설정'!$C$14*'설정'!$E$33,1)/$D35)^(-'설정'!$C$6),('설정'!$C$33*IF($A35&gt;=31,1+'설정'!$C$14*'설정'!$E$33,1)/$D35)^(-'설정'!$C$7)),0))</f>
        <v/>
      </c>
      <c r="T35" s="8">
        <f>IF($E35*'설정'!$C$5*IF(('설정'!$C$34*IF($A35&gt;=31,1+'설정'!$C$14*'설정'!$E$34,1)/$D35)&lt;1,('설정'!$C$34*IF($A35&gt;=31,1+'설정'!$C$14*'설정'!$E$34,1)/$D35)^(-'설정'!$C$6),('설정'!$C$34*IF($A35&gt;=31,1+'설정'!$C$14*'설정'!$E$34,1)/$D35)^(-'설정'!$C$7))&gt;('설정'!$C$4+'설정'!$F$34),"실패",ROUND($E35*'설정'!$C$5*IF(('설정'!$C$34*IF($A35&gt;=31,1+'설정'!$C$14*'설정'!$E$34,1)/$D35)&lt;1,('설정'!$C$34*IF($A35&gt;=31,1+'설정'!$C$14*'설정'!$E$34,1)/$D35)^(-'설정'!$C$6),('설정'!$C$34*IF($A35&gt;=31,1+'설정'!$C$14*'설정'!$E$34,1)/$D35)^(-'설정'!$C$7)),0))</f>
        <v/>
      </c>
      <c r="U35" s="8">
        <f>IF($E35*'설정'!$C$5*IF(('설정'!$C$35*IF($A35&gt;=31,1+'설정'!$C$14*'설정'!$E$35,1)/$D35)&lt;1,('설정'!$C$35*IF($A35&gt;=31,1+'설정'!$C$14*'설정'!$E$35,1)/$D35)^(-'설정'!$C$6),('설정'!$C$35*IF($A35&gt;=31,1+'설정'!$C$14*'설정'!$E$35,1)/$D35)^(-'설정'!$C$7))&gt;('설정'!$C$4+'설정'!$F$35),"실패",ROUND($E35*'설정'!$C$5*IF(('설정'!$C$35*IF($A35&gt;=31,1+'설정'!$C$14*'설정'!$E$35,1)/$D35)&lt;1,('설정'!$C$35*IF($A35&gt;=31,1+'설정'!$C$14*'설정'!$E$35,1)/$D35)^(-'설정'!$C$6),('설정'!$C$35*IF($A35&gt;=31,1+'설정'!$C$14*'설정'!$E$35,1)/$D35)^(-'설정'!$C$7)),0))</f>
        <v/>
      </c>
      <c r="V35" s="8">
        <f>IF($E35*'설정'!$C$5*IF(('설정'!$C$36*IF($A35&gt;=31,1+'설정'!$C$14*'설정'!$E$36,1)/$D35)&lt;1,('설정'!$C$36*IF($A35&gt;=31,1+'설정'!$C$14*'설정'!$E$36,1)/$D35)^(-'설정'!$C$6),('설정'!$C$36*IF($A35&gt;=31,1+'설정'!$C$14*'설정'!$E$36,1)/$D35)^(-'설정'!$C$7))&gt;('설정'!$C$4+'설정'!$F$36),"실패",ROUND($E35*'설정'!$C$5*IF(('설정'!$C$36*IF($A35&gt;=31,1+'설정'!$C$14*'설정'!$E$36,1)/$D35)&lt;1,('설정'!$C$36*IF($A35&gt;=31,1+'설정'!$C$14*'설정'!$E$36,1)/$D35)^(-'설정'!$C$6),('설정'!$C$36*IF($A35&gt;=31,1+'설정'!$C$14*'설정'!$E$36,1)/$D35)^(-'설정'!$C$7)),0))</f>
        <v/>
      </c>
      <c r="W35" s="8">
        <f>IF($E35*'설정'!$C$5*IF(('설정'!$C$37*IF($A35&gt;=31,1+'설정'!$C$14*'설정'!$E$37,1)/$D35)&lt;1,('설정'!$C$37*IF($A35&gt;=31,1+'설정'!$C$14*'설정'!$E$37,1)/$D35)^(-'설정'!$C$6),('설정'!$C$37*IF($A35&gt;=31,1+'설정'!$C$14*'설정'!$E$37,1)/$D35)^(-'설정'!$C$7))&gt;('설정'!$C$4+'설정'!$F$37),"실패",ROUND($E35*'설정'!$C$5*IF(('설정'!$C$37*IF($A35&gt;=31,1+'설정'!$C$14*'설정'!$E$37,1)/$D35)&lt;1,('설정'!$C$37*IF($A35&gt;=31,1+'설정'!$C$14*'설정'!$E$37,1)/$D35)^(-'설정'!$C$6),('설정'!$C$37*IF($A35&gt;=31,1+'설정'!$C$14*'설정'!$E$37,1)/$D35)^(-'설정'!$C$7)),0))</f>
        <v/>
      </c>
    </row>
    <row r="36">
      <c r="A36" t="n">
        <v>34</v>
      </c>
      <c r="B36" t="inlineStr">
        <is>
          <t>보통</t>
        </is>
      </c>
      <c r="C36" t="inlineStr"/>
      <c r="D36" s="6" t="n">
        <v>327000</v>
      </c>
      <c r="E36" t="n">
        <v>72</v>
      </c>
      <c r="F36" s="6" t="n">
        <v>6540</v>
      </c>
      <c r="G36" t="n">
        <v>31</v>
      </c>
      <c r="H36" s="8">
        <f>IF($E36*'설정'!$C$5*IF(('설정'!$C$22*IF($A36&gt;=31,1+'설정'!$C$14*'설정'!$E$22,1)/$D36)&lt;1,('설정'!$C$22*IF($A36&gt;=31,1+'설정'!$C$14*'설정'!$E$22,1)/$D36)^(-'설정'!$C$6),('설정'!$C$22*IF($A36&gt;=31,1+'설정'!$C$14*'설정'!$E$22,1)/$D36)^(-'설정'!$C$7))&gt;('설정'!$C$4+'설정'!$F$22),"실패",ROUND($E36*'설정'!$C$5*IF(('설정'!$C$22*IF($A36&gt;=31,1+'설정'!$C$14*'설정'!$E$22,1)/$D36)&lt;1,('설정'!$C$22*IF($A36&gt;=31,1+'설정'!$C$14*'설정'!$E$22,1)/$D36)^(-'설정'!$C$6),('설정'!$C$22*IF($A36&gt;=31,1+'설정'!$C$14*'설정'!$E$22,1)/$D36)^(-'설정'!$C$7)),0))</f>
        <v/>
      </c>
      <c r="I36" s="8">
        <f>IF($E36*'설정'!$C$5*IF(('설정'!$C$23*IF($A36&gt;=31,1+'설정'!$C$14*'설정'!$E$23,1)/$D36)&lt;1,('설정'!$C$23*IF($A36&gt;=31,1+'설정'!$C$14*'설정'!$E$23,1)/$D36)^(-'설정'!$C$6),('설정'!$C$23*IF($A36&gt;=31,1+'설정'!$C$14*'설정'!$E$23,1)/$D36)^(-'설정'!$C$7))&gt;('설정'!$C$4+'설정'!$F$23),"실패",ROUND($E36*'설정'!$C$5*IF(('설정'!$C$23*IF($A36&gt;=31,1+'설정'!$C$14*'설정'!$E$23,1)/$D36)&lt;1,('설정'!$C$23*IF($A36&gt;=31,1+'설정'!$C$14*'설정'!$E$23,1)/$D36)^(-'설정'!$C$6),('설정'!$C$23*IF($A36&gt;=31,1+'설정'!$C$14*'설정'!$E$23,1)/$D36)^(-'설정'!$C$7)),0))</f>
        <v/>
      </c>
      <c r="J36" s="8">
        <f>IF($E36*'설정'!$C$5*IF(('설정'!$C$24*IF($A36&gt;=31,1+'설정'!$C$14*'설정'!$E$24,1)/$D36)&lt;1,('설정'!$C$24*IF($A36&gt;=31,1+'설정'!$C$14*'설정'!$E$24,1)/$D36)^(-'설정'!$C$6),('설정'!$C$24*IF($A36&gt;=31,1+'설정'!$C$14*'설정'!$E$24,1)/$D36)^(-'설정'!$C$7))&gt;('설정'!$C$4+'설정'!$F$24),"실패",ROUND($E36*'설정'!$C$5*IF(('설정'!$C$24*IF($A36&gt;=31,1+'설정'!$C$14*'설정'!$E$24,1)/$D36)&lt;1,('설정'!$C$24*IF($A36&gt;=31,1+'설정'!$C$14*'설정'!$E$24,1)/$D36)^(-'설정'!$C$6),('설정'!$C$24*IF($A36&gt;=31,1+'설정'!$C$14*'설정'!$E$24,1)/$D36)^(-'설정'!$C$7)),0))</f>
        <v/>
      </c>
      <c r="K36" s="8">
        <f>IF($E36*'설정'!$C$5*IF(('설정'!$C$25*IF($A36&gt;=31,1+'설정'!$C$14*'설정'!$E$25,1)/$D36)&lt;1,('설정'!$C$25*IF($A36&gt;=31,1+'설정'!$C$14*'설정'!$E$25,1)/$D36)^(-'설정'!$C$6),('설정'!$C$25*IF($A36&gt;=31,1+'설정'!$C$14*'설정'!$E$25,1)/$D36)^(-'설정'!$C$7))&gt;('설정'!$C$4+'설정'!$F$25),"실패",ROUND($E36*'설정'!$C$5*IF(('설정'!$C$25*IF($A36&gt;=31,1+'설정'!$C$14*'설정'!$E$25,1)/$D36)&lt;1,('설정'!$C$25*IF($A36&gt;=31,1+'설정'!$C$14*'설정'!$E$25,1)/$D36)^(-'설정'!$C$6),('설정'!$C$25*IF($A36&gt;=31,1+'설정'!$C$14*'설정'!$E$25,1)/$D36)^(-'설정'!$C$7)),0))</f>
        <v/>
      </c>
      <c r="L36" s="8">
        <f>IF($E36*'설정'!$C$5*IF(('설정'!$C$26*IF($A36&gt;=31,1+'설정'!$C$14*'설정'!$E$26,1)/$D36)&lt;1,('설정'!$C$26*IF($A36&gt;=31,1+'설정'!$C$14*'설정'!$E$26,1)/$D36)^(-'설정'!$C$6),('설정'!$C$26*IF($A36&gt;=31,1+'설정'!$C$14*'설정'!$E$26,1)/$D36)^(-'설정'!$C$7))&gt;('설정'!$C$4+'설정'!$F$26),"실패",ROUND($E36*'설정'!$C$5*IF(('설정'!$C$26*IF($A36&gt;=31,1+'설정'!$C$14*'설정'!$E$26,1)/$D36)&lt;1,('설정'!$C$26*IF($A36&gt;=31,1+'설정'!$C$14*'설정'!$E$26,1)/$D36)^(-'설정'!$C$6),('설정'!$C$26*IF($A36&gt;=31,1+'설정'!$C$14*'설정'!$E$26,1)/$D36)^(-'설정'!$C$7)),0))</f>
        <v/>
      </c>
      <c r="M36" s="8">
        <f>IF($E36*'설정'!$C$5*IF(('설정'!$C$27*IF($A36&gt;=31,1+'설정'!$C$14*'설정'!$E$27,1)/$D36)&lt;1,('설정'!$C$27*IF($A36&gt;=31,1+'설정'!$C$14*'설정'!$E$27,1)/$D36)^(-'설정'!$C$6),('설정'!$C$27*IF($A36&gt;=31,1+'설정'!$C$14*'설정'!$E$27,1)/$D36)^(-'설정'!$C$7))&gt;('설정'!$C$4+'설정'!$F$27),"실패",ROUND($E36*'설정'!$C$5*IF(('설정'!$C$27*IF($A36&gt;=31,1+'설정'!$C$14*'설정'!$E$27,1)/$D36)&lt;1,('설정'!$C$27*IF($A36&gt;=31,1+'설정'!$C$14*'설정'!$E$27,1)/$D36)^(-'설정'!$C$6),('설정'!$C$27*IF($A36&gt;=31,1+'설정'!$C$14*'설정'!$E$27,1)/$D36)^(-'설정'!$C$7)),0))</f>
        <v/>
      </c>
      <c r="N36" s="8">
        <f>IF($E36*'설정'!$C$5*IF(('설정'!$C$28*IF($A36&gt;=31,1+'설정'!$C$14*'설정'!$E$28,1)/$D36)&lt;1,('설정'!$C$28*IF($A36&gt;=31,1+'설정'!$C$14*'설정'!$E$28,1)/$D36)^(-'설정'!$C$6),('설정'!$C$28*IF($A36&gt;=31,1+'설정'!$C$14*'설정'!$E$28,1)/$D36)^(-'설정'!$C$7))&gt;('설정'!$C$4+'설정'!$F$28),"실패",ROUND($E36*'설정'!$C$5*IF(('설정'!$C$28*IF($A36&gt;=31,1+'설정'!$C$14*'설정'!$E$28,1)/$D36)&lt;1,('설정'!$C$28*IF($A36&gt;=31,1+'설정'!$C$14*'설정'!$E$28,1)/$D36)^(-'설정'!$C$6),('설정'!$C$28*IF($A36&gt;=31,1+'설정'!$C$14*'설정'!$E$28,1)/$D36)^(-'설정'!$C$7)),0))</f>
        <v/>
      </c>
      <c r="O36" s="8">
        <f>IF($E36*'설정'!$C$5*IF(('설정'!$C$29*IF($A36&gt;=31,1+'설정'!$C$14*'설정'!$E$29,1)/$D36)&lt;1,('설정'!$C$29*IF($A36&gt;=31,1+'설정'!$C$14*'설정'!$E$29,1)/$D36)^(-'설정'!$C$6),('설정'!$C$29*IF($A36&gt;=31,1+'설정'!$C$14*'설정'!$E$29,1)/$D36)^(-'설정'!$C$7))&gt;('설정'!$C$4+'설정'!$F$29),"실패",ROUND($E36*'설정'!$C$5*IF(('설정'!$C$29*IF($A36&gt;=31,1+'설정'!$C$14*'설정'!$E$29,1)/$D36)&lt;1,('설정'!$C$29*IF($A36&gt;=31,1+'설정'!$C$14*'설정'!$E$29,1)/$D36)^(-'설정'!$C$6),('설정'!$C$29*IF($A36&gt;=31,1+'설정'!$C$14*'설정'!$E$29,1)/$D36)^(-'설정'!$C$7)),0))</f>
        <v/>
      </c>
      <c r="P36" s="8">
        <f>IF($E36*'설정'!$C$5*IF(('설정'!$C$30*IF($A36&gt;=31,1+'설정'!$C$14*'설정'!$E$30,1)/$D36)&lt;1,('설정'!$C$30*IF($A36&gt;=31,1+'설정'!$C$14*'설정'!$E$30,1)/$D36)^(-'설정'!$C$6),('설정'!$C$30*IF($A36&gt;=31,1+'설정'!$C$14*'설정'!$E$30,1)/$D36)^(-'설정'!$C$7))&gt;('설정'!$C$4+'설정'!$F$30),"실패",ROUND($E36*'설정'!$C$5*IF(('설정'!$C$30*IF($A36&gt;=31,1+'설정'!$C$14*'설정'!$E$30,1)/$D36)&lt;1,('설정'!$C$30*IF($A36&gt;=31,1+'설정'!$C$14*'설정'!$E$30,1)/$D36)^(-'설정'!$C$6),('설정'!$C$30*IF($A36&gt;=31,1+'설정'!$C$14*'설정'!$E$30,1)/$D36)^(-'설정'!$C$7)),0))</f>
        <v/>
      </c>
      <c r="Q36" s="8">
        <f>IF($E36*'설정'!$C$5*IF(('설정'!$C$31*IF($A36&gt;=31,1+'설정'!$C$14*'설정'!$E$31,1)/$D36)&lt;1,('설정'!$C$31*IF($A36&gt;=31,1+'설정'!$C$14*'설정'!$E$31,1)/$D36)^(-'설정'!$C$6),('설정'!$C$31*IF($A36&gt;=31,1+'설정'!$C$14*'설정'!$E$31,1)/$D36)^(-'설정'!$C$7))&gt;('설정'!$C$4+'설정'!$F$31),"실패",ROUND($E36*'설정'!$C$5*IF(('설정'!$C$31*IF($A36&gt;=31,1+'설정'!$C$14*'설정'!$E$31,1)/$D36)&lt;1,('설정'!$C$31*IF($A36&gt;=31,1+'설정'!$C$14*'설정'!$E$31,1)/$D36)^(-'설정'!$C$6),('설정'!$C$31*IF($A36&gt;=31,1+'설정'!$C$14*'설정'!$E$31,1)/$D36)^(-'설정'!$C$7)),0))</f>
        <v/>
      </c>
      <c r="R36" s="8">
        <f>IF($E36*'설정'!$C$5*IF(('설정'!$C$32*IF($A36&gt;=31,1+'설정'!$C$14*'설정'!$E$32,1)/$D36)&lt;1,('설정'!$C$32*IF($A36&gt;=31,1+'설정'!$C$14*'설정'!$E$32,1)/$D36)^(-'설정'!$C$6),('설정'!$C$32*IF($A36&gt;=31,1+'설정'!$C$14*'설정'!$E$32,1)/$D36)^(-'설정'!$C$7))&gt;('설정'!$C$4+'설정'!$F$32),"실패",ROUND($E36*'설정'!$C$5*IF(('설정'!$C$32*IF($A36&gt;=31,1+'설정'!$C$14*'설정'!$E$32,1)/$D36)&lt;1,('설정'!$C$32*IF($A36&gt;=31,1+'설정'!$C$14*'설정'!$E$32,1)/$D36)^(-'설정'!$C$6),('설정'!$C$32*IF($A36&gt;=31,1+'설정'!$C$14*'설정'!$E$32,1)/$D36)^(-'설정'!$C$7)),0))</f>
        <v/>
      </c>
      <c r="S36" s="8">
        <f>IF($E36*'설정'!$C$5*IF(('설정'!$C$33*IF($A36&gt;=31,1+'설정'!$C$14*'설정'!$E$33,1)/$D36)&lt;1,('설정'!$C$33*IF($A36&gt;=31,1+'설정'!$C$14*'설정'!$E$33,1)/$D36)^(-'설정'!$C$6),('설정'!$C$33*IF($A36&gt;=31,1+'설정'!$C$14*'설정'!$E$33,1)/$D36)^(-'설정'!$C$7))&gt;('설정'!$C$4+'설정'!$F$33),"실패",ROUND($E36*'설정'!$C$5*IF(('설정'!$C$33*IF($A36&gt;=31,1+'설정'!$C$14*'설정'!$E$33,1)/$D36)&lt;1,('설정'!$C$33*IF($A36&gt;=31,1+'설정'!$C$14*'설정'!$E$33,1)/$D36)^(-'설정'!$C$6),('설정'!$C$33*IF($A36&gt;=31,1+'설정'!$C$14*'설정'!$E$33,1)/$D36)^(-'설정'!$C$7)),0))</f>
        <v/>
      </c>
      <c r="T36" s="8">
        <f>IF($E36*'설정'!$C$5*IF(('설정'!$C$34*IF($A36&gt;=31,1+'설정'!$C$14*'설정'!$E$34,1)/$D36)&lt;1,('설정'!$C$34*IF($A36&gt;=31,1+'설정'!$C$14*'설정'!$E$34,1)/$D36)^(-'설정'!$C$6),('설정'!$C$34*IF($A36&gt;=31,1+'설정'!$C$14*'설정'!$E$34,1)/$D36)^(-'설정'!$C$7))&gt;('설정'!$C$4+'설정'!$F$34),"실패",ROUND($E36*'설정'!$C$5*IF(('설정'!$C$34*IF($A36&gt;=31,1+'설정'!$C$14*'설정'!$E$34,1)/$D36)&lt;1,('설정'!$C$34*IF($A36&gt;=31,1+'설정'!$C$14*'설정'!$E$34,1)/$D36)^(-'설정'!$C$6),('설정'!$C$34*IF($A36&gt;=31,1+'설정'!$C$14*'설정'!$E$34,1)/$D36)^(-'설정'!$C$7)),0))</f>
        <v/>
      </c>
      <c r="U36" s="8">
        <f>IF($E36*'설정'!$C$5*IF(('설정'!$C$35*IF($A36&gt;=31,1+'설정'!$C$14*'설정'!$E$35,1)/$D36)&lt;1,('설정'!$C$35*IF($A36&gt;=31,1+'설정'!$C$14*'설정'!$E$35,1)/$D36)^(-'설정'!$C$6),('설정'!$C$35*IF($A36&gt;=31,1+'설정'!$C$14*'설정'!$E$35,1)/$D36)^(-'설정'!$C$7))&gt;('설정'!$C$4+'설정'!$F$35),"실패",ROUND($E36*'설정'!$C$5*IF(('설정'!$C$35*IF($A36&gt;=31,1+'설정'!$C$14*'설정'!$E$35,1)/$D36)&lt;1,('설정'!$C$35*IF($A36&gt;=31,1+'설정'!$C$14*'설정'!$E$35,1)/$D36)^(-'설정'!$C$6),('설정'!$C$35*IF($A36&gt;=31,1+'설정'!$C$14*'설정'!$E$35,1)/$D36)^(-'설정'!$C$7)),0))</f>
        <v/>
      </c>
      <c r="V36" s="8">
        <f>IF($E36*'설정'!$C$5*IF(('설정'!$C$36*IF($A36&gt;=31,1+'설정'!$C$14*'설정'!$E$36,1)/$D36)&lt;1,('설정'!$C$36*IF($A36&gt;=31,1+'설정'!$C$14*'설정'!$E$36,1)/$D36)^(-'설정'!$C$6),('설정'!$C$36*IF($A36&gt;=31,1+'설정'!$C$14*'설정'!$E$36,1)/$D36)^(-'설정'!$C$7))&gt;('설정'!$C$4+'설정'!$F$36),"실패",ROUND($E36*'설정'!$C$5*IF(('설정'!$C$36*IF($A36&gt;=31,1+'설정'!$C$14*'설정'!$E$36,1)/$D36)&lt;1,('설정'!$C$36*IF($A36&gt;=31,1+'설정'!$C$14*'설정'!$E$36,1)/$D36)^(-'설정'!$C$6),('설정'!$C$36*IF($A36&gt;=31,1+'설정'!$C$14*'설정'!$E$36,1)/$D36)^(-'설정'!$C$7)),0))</f>
        <v/>
      </c>
      <c r="W36" s="8">
        <f>IF($E36*'설정'!$C$5*IF(('설정'!$C$37*IF($A36&gt;=31,1+'설정'!$C$14*'설정'!$E$37,1)/$D36)&lt;1,('설정'!$C$37*IF($A36&gt;=31,1+'설정'!$C$14*'설정'!$E$37,1)/$D36)^(-'설정'!$C$6),('설정'!$C$37*IF($A36&gt;=31,1+'설정'!$C$14*'설정'!$E$37,1)/$D36)^(-'설정'!$C$7))&gt;('설정'!$C$4+'설정'!$F$37),"실패",ROUND($E36*'설정'!$C$5*IF(('설정'!$C$37*IF($A36&gt;=31,1+'설정'!$C$14*'설정'!$E$37,1)/$D36)&lt;1,('설정'!$C$37*IF($A36&gt;=31,1+'설정'!$C$14*'설정'!$E$37,1)/$D36)^(-'설정'!$C$6),('설정'!$C$37*IF($A36&gt;=31,1+'설정'!$C$14*'설정'!$E$37,1)/$D36)^(-'설정'!$C$7)),0))</f>
        <v/>
      </c>
    </row>
    <row r="37">
      <c r="A37" t="n">
        <v>35</v>
      </c>
      <c r="B37" t="inlineStr">
        <is>
          <t>어려움</t>
        </is>
      </c>
      <c r="C37" t="inlineStr">
        <is>
          <t>보스</t>
        </is>
      </c>
      <c r="D37" s="6" t="n">
        <v>402000</v>
      </c>
      <c r="E37" t="n">
        <v>90</v>
      </c>
      <c r="F37" s="6" t="n">
        <v>8050</v>
      </c>
      <c r="G37" t="n">
        <v>31</v>
      </c>
      <c r="H37" s="8">
        <f>IF($E37*'설정'!$C$5*IF(('설정'!$C$22*IF($A37&gt;=31,1+'설정'!$C$14*'설정'!$E$22,1)/$D37)&lt;1,('설정'!$C$22*IF($A37&gt;=31,1+'설정'!$C$14*'설정'!$E$22,1)/$D37)^(-'설정'!$C$6),('설정'!$C$22*IF($A37&gt;=31,1+'설정'!$C$14*'설정'!$E$22,1)/$D37)^(-'설정'!$C$7))&gt;('설정'!$C$4+'설정'!$F$22+'설정'!$G$22),"실패",ROUND($E37*'설정'!$C$5*IF(('설정'!$C$22*IF($A37&gt;=31,1+'설정'!$C$14*'설정'!$E$22,1)/$D37)&lt;1,('설정'!$C$22*IF($A37&gt;=31,1+'설정'!$C$14*'설정'!$E$22,1)/$D37)^(-'설정'!$C$6),('설정'!$C$22*IF($A37&gt;=31,1+'설정'!$C$14*'설정'!$E$22,1)/$D37)^(-'설정'!$C$7)),0))</f>
        <v/>
      </c>
      <c r="I37" s="8">
        <f>IF($E37*'설정'!$C$5*IF(('설정'!$C$23*IF($A37&gt;=31,1+'설정'!$C$14*'설정'!$E$23,1)/$D37)&lt;1,('설정'!$C$23*IF($A37&gt;=31,1+'설정'!$C$14*'설정'!$E$23,1)/$D37)^(-'설정'!$C$6),('설정'!$C$23*IF($A37&gt;=31,1+'설정'!$C$14*'설정'!$E$23,1)/$D37)^(-'설정'!$C$7))&gt;('설정'!$C$4+'설정'!$F$23+'설정'!$G$23),"실패",ROUND($E37*'설정'!$C$5*IF(('설정'!$C$23*IF($A37&gt;=31,1+'설정'!$C$14*'설정'!$E$23,1)/$D37)&lt;1,('설정'!$C$23*IF($A37&gt;=31,1+'설정'!$C$14*'설정'!$E$23,1)/$D37)^(-'설정'!$C$6),('설정'!$C$23*IF($A37&gt;=31,1+'설정'!$C$14*'설정'!$E$23,1)/$D37)^(-'설정'!$C$7)),0))</f>
        <v/>
      </c>
      <c r="J37" s="8">
        <f>IF($E37*'설정'!$C$5*IF(('설정'!$C$24*IF($A37&gt;=31,1+'설정'!$C$14*'설정'!$E$24,1)/$D37)&lt;1,('설정'!$C$24*IF($A37&gt;=31,1+'설정'!$C$14*'설정'!$E$24,1)/$D37)^(-'설정'!$C$6),('설정'!$C$24*IF($A37&gt;=31,1+'설정'!$C$14*'설정'!$E$24,1)/$D37)^(-'설정'!$C$7))&gt;('설정'!$C$4+'설정'!$F$24+'설정'!$G$24),"실패",ROUND($E37*'설정'!$C$5*IF(('설정'!$C$24*IF($A37&gt;=31,1+'설정'!$C$14*'설정'!$E$24,1)/$D37)&lt;1,('설정'!$C$24*IF($A37&gt;=31,1+'설정'!$C$14*'설정'!$E$24,1)/$D37)^(-'설정'!$C$6),('설정'!$C$24*IF($A37&gt;=31,1+'설정'!$C$14*'설정'!$E$24,1)/$D37)^(-'설정'!$C$7)),0))</f>
        <v/>
      </c>
      <c r="K37" s="8">
        <f>IF($E37*'설정'!$C$5*IF(('설정'!$C$25*IF($A37&gt;=31,1+'설정'!$C$14*'설정'!$E$25,1)/$D37)&lt;1,('설정'!$C$25*IF($A37&gt;=31,1+'설정'!$C$14*'설정'!$E$25,1)/$D37)^(-'설정'!$C$6),('설정'!$C$25*IF($A37&gt;=31,1+'설정'!$C$14*'설정'!$E$25,1)/$D37)^(-'설정'!$C$7))&gt;('설정'!$C$4+'설정'!$F$25+'설정'!$G$25),"실패",ROUND($E37*'설정'!$C$5*IF(('설정'!$C$25*IF($A37&gt;=31,1+'설정'!$C$14*'설정'!$E$25,1)/$D37)&lt;1,('설정'!$C$25*IF($A37&gt;=31,1+'설정'!$C$14*'설정'!$E$25,1)/$D37)^(-'설정'!$C$6),('설정'!$C$25*IF($A37&gt;=31,1+'설정'!$C$14*'설정'!$E$25,1)/$D37)^(-'설정'!$C$7)),0))</f>
        <v/>
      </c>
      <c r="L37" s="8">
        <f>IF($E37*'설정'!$C$5*IF(('설정'!$C$26*IF($A37&gt;=31,1+'설정'!$C$14*'설정'!$E$26,1)/$D37)&lt;1,('설정'!$C$26*IF($A37&gt;=31,1+'설정'!$C$14*'설정'!$E$26,1)/$D37)^(-'설정'!$C$6),('설정'!$C$26*IF($A37&gt;=31,1+'설정'!$C$14*'설정'!$E$26,1)/$D37)^(-'설정'!$C$7))&gt;('설정'!$C$4+'설정'!$F$26+'설정'!$G$26),"실패",ROUND($E37*'설정'!$C$5*IF(('설정'!$C$26*IF($A37&gt;=31,1+'설정'!$C$14*'설정'!$E$26,1)/$D37)&lt;1,('설정'!$C$26*IF($A37&gt;=31,1+'설정'!$C$14*'설정'!$E$26,1)/$D37)^(-'설정'!$C$6),('설정'!$C$26*IF($A37&gt;=31,1+'설정'!$C$14*'설정'!$E$26,1)/$D37)^(-'설정'!$C$7)),0))</f>
        <v/>
      </c>
      <c r="M37" s="8">
        <f>IF($E37*'설정'!$C$5*IF(('설정'!$C$27*IF($A37&gt;=31,1+'설정'!$C$14*'설정'!$E$27,1)/$D37)&lt;1,('설정'!$C$27*IF($A37&gt;=31,1+'설정'!$C$14*'설정'!$E$27,1)/$D37)^(-'설정'!$C$6),('설정'!$C$27*IF($A37&gt;=31,1+'설정'!$C$14*'설정'!$E$27,1)/$D37)^(-'설정'!$C$7))&gt;('설정'!$C$4+'설정'!$F$27+'설정'!$G$27),"실패",ROUND($E37*'설정'!$C$5*IF(('설정'!$C$27*IF($A37&gt;=31,1+'설정'!$C$14*'설정'!$E$27,1)/$D37)&lt;1,('설정'!$C$27*IF($A37&gt;=31,1+'설정'!$C$14*'설정'!$E$27,1)/$D37)^(-'설정'!$C$6),('설정'!$C$27*IF($A37&gt;=31,1+'설정'!$C$14*'설정'!$E$27,1)/$D37)^(-'설정'!$C$7)),0))</f>
        <v/>
      </c>
      <c r="N37" s="8">
        <f>IF($E37*'설정'!$C$5*IF(('설정'!$C$28*IF($A37&gt;=31,1+'설정'!$C$14*'설정'!$E$28,1)/$D37)&lt;1,('설정'!$C$28*IF($A37&gt;=31,1+'설정'!$C$14*'설정'!$E$28,1)/$D37)^(-'설정'!$C$6),('설정'!$C$28*IF($A37&gt;=31,1+'설정'!$C$14*'설정'!$E$28,1)/$D37)^(-'설정'!$C$7))&gt;('설정'!$C$4+'설정'!$F$28+'설정'!$G$28),"실패",ROUND($E37*'설정'!$C$5*IF(('설정'!$C$28*IF($A37&gt;=31,1+'설정'!$C$14*'설정'!$E$28,1)/$D37)&lt;1,('설정'!$C$28*IF($A37&gt;=31,1+'설정'!$C$14*'설정'!$E$28,1)/$D37)^(-'설정'!$C$6),('설정'!$C$28*IF($A37&gt;=31,1+'설정'!$C$14*'설정'!$E$28,1)/$D37)^(-'설정'!$C$7)),0))</f>
        <v/>
      </c>
      <c r="O37" s="8">
        <f>IF($E37*'설정'!$C$5*IF(('설정'!$C$29*IF($A37&gt;=31,1+'설정'!$C$14*'설정'!$E$29,1)/$D37)&lt;1,('설정'!$C$29*IF($A37&gt;=31,1+'설정'!$C$14*'설정'!$E$29,1)/$D37)^(-'설정'!$C$6),('설정'!$C$29*IF($A37&gt;=31,1+'설정'!$C$14*'설정'!$E$29,1)/$D37)^(-'설정'!$C$7))&gt;('설정'!$C$4+'설정'!$F$29+'설정'!$G$29),"실패",ROUND($E37*'설정'!$C$5*IF(('설정'!$C$29*IF($A37&gt;=31,1+'설정'!$C$14*'설정'!$E$29,1)/$D37)&lt;1,('설정'!$C$29*IF($A37&gt;=31,1+'설정'!$C$14*'설정'!$E$29,1)/$D37)^(-'설정'!$C$6),('설정'!$C$29*IF($A37&gt;=31,1+'설정'!$C$14*'설정'!$E$29,1)/$D37)^(-'설정'!$C$7)),0))</f>
        <v/>
      </c>
      <c r="P37" s="8">
        <f>IF($E37*'설정'!$C$5*IF(('설정'!$C$30*IF($A37&gt;=31,1+'설정'!$C$14*'설정'!$E$30,1)/$D37)&lt;1,('설정'!$C$30*IF($A37&gt;=31,1+'설정'!$C$14*'설정'!$E$30,1)/$D37)^(-'설정'!$C$6),('설정'!$C$30*IF($A37&gt;=31,1+'설정'!$C$14*'설정'!$E$30,1)/$D37)^(-'설정'!$C$7))&gt;('설정'!$C$4+'설정'!$F$30+'설정'!$G$30),"실패",ROUND($E37*'설정'!$C$5*IF(('설정'!$C$30*IF($A37&gt;=31,1+'설정'!$C$14*'설정'!$E$30,1)/$D37)&lt;1,('설정'!$C$30*IF($A37&gt;=31,1+'설정'!$C$14*'설정'!$E$30,1)/$D37)^(-'설정'!$C$6),('설정'!$C$30*IF($A37&gt;=31,1+'설정'!$C$14*'설정'!$E$30,1)/$D37)^(-'설정'!$C$7)),0))</f>
        <v/>
      </c>
      <c r="Q37" s="8">
        <f>IF($E37*'설정'!$C$5*IF(('설정'!$C$31*IF($A37&gt;=31,1+'설정'!$C$14*'설정'!$E$31,1)/$D37)&lt;1,('설정'!$C$31*IF($A37&gt;=31,1+'설정'!$C$14*'설정'!$E$31,1)/$D37)^(-'설정'!$C$6),('설정'!$C$31*IF($A37&gt;=31,1+'설정'!$C$14*'설정'!$E$31,1)/$D37)^(-'설정'!$C$7))&gt;('설정'!$C$4+'설정'!$F$31+'설정'!$G$31),"실패",ROUND($E37*'설정'!$C$5*IF(('설정'!$C$31*IF($A37&gt;=31,1+'설정'!$C$14*'설정'!$E$31,1)/$D37)&lt;1,('설정'!$C$31*IF($A37&gt;=31,1+'설정'!$C$14*'설정'!$E$31,1)/$D37)^(-'설정'!$C$6),('설정'!$C$31*IF($A37&gt;=31,1+'설정'!$C$14*'설정'!$E$31,1)/$D37)^(-'설정'!$C$7)),0))</f>
        <v/>
      </c>
      <c r="R37" s="8">
        <f>IF($E37*'설정'!$C$5*IF(('설정'!$C$32*IF($A37&gt;=31,1+'설정'!$C$14*'설정'!$E$32,1)/$D37)&lt;1,('설정'!$C$32*IF($A37&gt;=31,1+'설정'!$C$14*'설정'!$E$32,1)/$D37)^(-'설정'!$C$6),('설정'!$C$32*IF($A37&gt;=31,1+'설정'!$C$14*'설정'!$E$32,1)/$D37)^(-'설정'!$C$7))&gt;('설정'!$C$4+'설정'!$F$32+'설정'!$G$32),"실패",ROUND($E37*'설정'!$C$5*IF(('설정'!$C$32*IF($A37&gt;=31,1+'설정'!$C$14*'설정'!$E$32,1)/$D37)&lt;1,('설정'!$C$32*IF($A37&gt;=31,1+'설정'!$C$14*'설정'!$E$32,1)/$D37)^(-'설정'!$C$6),('설정'!$C$32*IF($A37&gt;=31,1+'설정'!$C$14*'설정'!$E$32,1)/$D37)^(-'설정'!$C$7)),0))</f>
        <v/>
      </c>
      <c r="S37" s="8">
        <f>IF($E37*'설정'!$C$5*IF(('설정'!$C$33*IF($A37&gt;=31,1+'설정'!$C$14*'설정'!$E$33,1)/$D37)&lt;1,('설정'!$C$33*IF($A37&gt;=31,1+'설정'!$C$14*'설정'!$E$33,1)/$D37)^(-'설정'!$C$6),('설정'!$C$33*IF($A37&gt;=31,1+'설정'!$C$14*'설정'!$E$33,1)/$D37)^(-'설정'!$C$7))&gt;('설정'!$C$4+'설정'!$F$33+'설정'!$G$33),"실패",ROUND($E37*'설정'!$C$5*IF(('설정'!$C$33*IF($A37&gt;=31,1+'설정'!$C$14*'설정'!$E$33,1)/$D37)&lt;1,('설정'!$C$33*IF($A37&gt;=31,1+'설정'!$C$14*'설정'!$E$33,1)/$D37)^(-'설정'!$C$6),('설정'!$C$33*IF($A37&gt;=31,1+'설정'!$C$14*'설정'!$E$33,1)/$D37)^(-'설정'!$C$7)),0))</f>
        <v/>
      </c>
      <c r="T37" s="8">
        <f>IF($E37*'설정'!$C$5*IF(('설정'!$C$34*IF($A37&gt;=31,1+'설정'!$C$14*'설정'!$E$34,1)/$D37)&lt;1,('설정'!$C$34*IF($A37&gt;=31,1+'설정'!$C$14*'설정'!$E$34,1)/$D37)^(-'설정'!$C$6),('설정'!$C$34*IF($A37&gt;=31,1+'설정'!$C$14*'설정'!$E$34,1)/$D37)^(-'설정'!$C$7))&gt;('설정'!$C$4+'설정'!$F$34+'설정'!$G$34),"실패",ROUND($E37*'설정'!$C$5*IF(('설정'!$C$34*IF($A37&gt;=31,1+'설정'!$C$14*'설정'!$E$34,1)/$D37)&lt;1,('설정'!$C$34*IF($A37&gt;=31,1+'설정'!$C$14*'설정'!$E$34,1)/$D37)^(-'설정'!$C$6),('설정'!$C$34*IF($A37&gt;=31,1+'설정'!$C$14*'설정'!$E$34,1)/$D37)^(-'설정'!$C$7)),0))</f>
        <v/>
      </c>
      <c r="U37" s="8">
        <f>IF($E37*'설정'!$C$5*IF(('설정'!$C$35*IF($A37&gt;=31,1+'설정'!$C$14*'설정'!$E$35,1)/$D37)&lt;1,('설정'!$C$35*IF($A37&gt;=31,1+'설정'!$C$14*'설정'!$E$35,1)/$D37)^(-'설정'!$C$6),('설정'!$C$35*IF($A37&gt;=31,1+'설정'!$C$14*'설정'!$E$35,1)/$D37)^(-'설정'!$C$7))&gt;('설정'!$C$4+'설정'!$F$35+'설정'!$G$35),"실패",ROUND($E37*'설정'!$C$5*IF(('설정'!$C$35*IF($A37&gt;=31,1+'설정'!$C$14*'설정'!$E$35,1)/$D37)&lt;1,('설정'!$C$35*IF($A37&gt;=31,1+'설정'!$C$14*'설정'!$E$35,1)/$D37)^(-'설정'!$C$6),('설정'!$C$35*IF($A37&gt;=31,1+'설정'!$C$14*'설정'!$E$35,1)/$D37)^(-'설정'!$C$7)),0))</f>
        <v/>
      </c>
      <c r="V37" s="8">
        <f>IF($E37*'설정'!$C$5*IF(('설정'!$C$36*IF($A37&gt;=31,1+'설정'!$C$14*'설정'!$E$36,1)/$D37)&lt;1,('설정'!$C$36*IF($A37&gt;=31,1+'설정'!$C$14*'설정'!$E$36,1)/$D37)^(-'설정'!$C$6),('설정'!$C$36*IF($A37&gt;=31,1+'설정'!$C$14*'설정'!$E$36,1)/$D37)^(-'설정'!$C$7))&gt;('설정'!$C$4+'설정'!$F$36+'설정'!$G$36),"실패",ROUND($E37*'설정'!$C$5*IF(('설정'!$C$36*IF($A37&gt;=31,1+'설정'!$C$14*'설정'!$E$36,1)/$D37)&lt;1,('설정'!$C$36*IF($A37&gt;=31,1+'설정'!$C$14*'설정'!$E$36,1)/$D37)^(-'설정'!$C$6),('설정'!$C$36*IF($A37&gt;=31,1+'설정'!$C$14*'설정'!$E$36,1)/$D37)^(-'설정'!$C$7)),0))</f>
        <v/>
      </c>
      <c r="W37" s="8">
        <f>IF($E37*'설정'!$C$5*IF(('설정'!$C$37*IF($A37&gt;=31,1+'설정'!$C$14*'설정'!$E$37,1)/$D37)&lt;1,('설정'!$C$37*IF($A37&gt;=31,1+'설정'!$C$14*'설정'!$E$37,1)/$D37)^(-'설정'!$C$6),('설정'!$C$37*IF($A37&gt;=31,1+'설정'!$C$14*'설정'!$E$37,1)/$D37)^(-'설정'!$C$7))&gt;('설정'!$C$4+'설정'!$F$37+'설정'!$G$37),"실패",ROUND($E37*'설정'!$C$5*IF(('설정'!$C$37*IF($A37&gt;=31,1+'설정'!$C$14*'설정'!$E$37,1)/$D37)&lt;1,('설정'!$C$37*IF($A37&gt;=31,1+'설정'!$C$14*'설정'!$E$37,1)/$D37)^(-'설정'!$C$6),('설정'!$C$37*IF($A37&gt;=31,1+'설정'!$C$14*'설정'!$E$37,1)/$D37)^(-'설정'!$C$7)),0))</f>
        <v/>
      </c>
    </row>
    <row r="38">
      <c r="A38" t="n">
        <v>36</v>
      </c>
      <c r="B38" t="inlineStr">
        <is>
          <t>보통</t>
        </is>
      </c>
      <c r="C38" t="inlineStr"/>
      <c r="D38" s="6" t="n">
        <v>374000</v>
      </c>
      <c r="E38" t="n">
        <v>72</v>
      </c>
      <c r="F38" s="6" t="n">
        <v>7490</v>
      </c>
      <c r="G38" t="n">
        <v>32</v>
      </c>
      <c r="H38" s="8">
        <f>IF($E38*'설정'!$C$5*IF(('설정'!$C$22*IF($A38&gt;=31,1+'설정'!$C$14*'설정'!$E$22,1)/$D38)&lt;1,('설정'!$C$22*IF($A38&gt;=31,1+'설정'!$C$14*'설정'!$E$22,1)/$D38)^(-'설정'!$C$6),('설정'!$C$22*IF($A38&gt;=31,1+'설정'!$C$14*'설정'!$E$22,1)/$D38)^(-'설정'!$C$7))&gt;('설정'!$C$4+'설정'!$F$22),"실패",ROUND($E38*'설정'!$C$5*IF(('설정'!$C$22*IF($A38&gt;=31,1+'설정'!$C$14*'설정'!$E$22,1)/$D38)&lt;1,('설정'!$C$22*IF($A38&gt;=31,1+'설정'!$C$14*'설정'!$E$22,1)/$D38)^(-'설정'!$C$6),('설정'!$C$22*IF($A38&gt;=31,1+'설정'!$C$14*'설정'!$E$22,1)/$D38)^(-'설정'!$C$7)),0))</f>
        <v/>
      </c>
      <c r="I38" s="8">
        <f>IF($E38*'설정'!$C$5*IF(('설정'!$C$23*IF($A38&gt;=31,1+'설정'!$C$14*'설정'!$E$23,1)/$D38)&lt;1,('설정'!$C$23*IF($A38&gt;=31,1+'설정'!$C$14*'설정'!$E$23,1)/$D38)^(-'설정'!$C$6),('설정'!$C$23*IF($A38&gt;=31,1+'설정'!$C$14*'설정'!$E$23,1)/$D38)^(-'설정'!$C$7))&gt;('설정'!$C$4+'설정'!$F$23),"실패",ROUND($E38*'설정'!$C$5*IF(('설정'!$C$23*IF($A38&gt;=31,1+'설정'!$C$14*'설정'!$E$23,1)/$D38)&lt;1,('설정'!$C$23*IF($A38&gt;=31,1+'설정'!$C$14*'설정'!$E$23,1)/$D38)^(-'설정'!$C$6),('설정'!$C$23*IF($A38&gt;=31,1+'설정'!$C$14*'설정'!$E$23,1)/$D38)^(-'설정'!$C$7)),0))</f>
        <v/>
      </c>
      <c r="J38" s="8">
        <f>IF($E38*'설정'!$C$5*IF(('설정'!$C$24*IF($A38&gt;=31,1+'설정'!$C$14*'설정'!$E$24,1)/$D38)&lt;1,('설정'!$C$24*IF($A38&gt;=31,1+'설정'!$C$14*'설정'!$E$24,1)/$D38)^(-'설정'!$C$6),('설정'!$C$24*IF($A38&gt;=31,1+'설정'!$C$14*'설정'!$E$24,1)/$D38)^(-'설정'!$C$7))&gt;('설정'!$C$4+'설정'!$F$24),"실패",ROUND($E38*'설정'!$C$5*IF(('설정'!$C$24*IF($A38&gt;=31,1+'설정'!$C$14*'설정'!$E$24,1)/$D38)&lt;1,('설정'!$C$24*IF($A38&gt;=31,1+'설정'!$C$14*'설정'!$E$24,1)/$D38)^(-'설정'!$C$6),('설정'!$C$24*IF($A38&gt;=31,1+'설정'!$C$14*'설정'!$E$24,1)/$D38)^(-'설정'!$C$7)),0))</f>
        <v/>
      </c>
      <c r="K38" s="8">
        <f>IF($E38*'설정'!$C$5*IF(('설정'!$C$25*IF($A38&gt;=31,1+'설정'!$C$14*'설정'!$E$25,1)/$D38)&lt;1,('설정'!$C$25*IF($A38&gt;=31,1+'설정'!$C$14*'설정'!$E$25,1)/$D38)^(-'설정'!$C$6),('설정'!$C$25*IF($A38&gt;=31,1+'설정'!$C$14*'설정'!$E$25,1)/$D38)^(-'설정'!$C$7))&gt;('설정'!$C$4+'설정'!$F$25),"실패",ROUND($E38*'설정'!$C$5*IF(('설정'!$C$25*IF($A38&gt;=31,1+'설정'!$C$14*'설정'!$E$25,1)/$D38)&lt;1,('설정'!$C$25*IF($A38&gt;=31,1+'설정'!$C$14*'설정'!$E$25,1)/$D38)^(-'설정'!$C$6),('설정'!$C$25*IF($A38&gt;=31,1+'설정'!$C$14*'설정'!$E$25,1)/$D38)^(-'설정'!$C$7)),0))</f>
        <v/>
      </c>
      <c r="L38" s="8">
        <f>IF($E38*'설정'!$C$5*IF(('설정'!$C$26*IF($A38&gt;=31,1+'설정'!$C$14*'설정'!$E$26,1)/$D38)&lt;1,('설정'!$C$26*IF($A38&gt;=31,1+'설정'!$C$14*'설정'!$E$26,1)/$D38)^(-'설정'!$C$6),('설정'!$C$26*IF($A38&gt;=31,1+'설정'!$C$14*'설정'!$E$26,1)/$D38)^(-'설정'!$C$7))&gt;('설정'!$C$4+'설정'!$F$26),"실패",ROUND($E38*'설정'!$C$5*IF(('설정'!$C$26*IF($A38&gt;=31,1+'설정'!$C$14*'설정'!$E$26,1)/$D38)&lt;1,('설정'!$C$26*IF($A38&gt;=31,1+'설정'!$C$14*'설정'!$E$26,1)/$D38)^(-'설정'!$C$6),('설정'!$C$26*IF($A38&gt;=31,1+'설정'!$C$14*'설정'!$E$26,1)/$D38)^(-'설정'!$C$7)),0))</f>
        <v/>
      </c>
      <c r="M38" s="8">
        <f>IF($E38*'설정'!$C$5*IF(('설정'!$C$27*IF($A38&gt;=31,1+'설정'!$C$14*'설정'!$E$27,1)/$D38)&lt;1,('설정'!$C$27*IF($A38&gt;=31,1+'설정'!$C$14*'설정'!$E$27,1)/$D38)^(-'설정'!$C$6),('설정'!$C$27*IF($A38&gt;=31,1+'설정'!$C$14*'설정'!$E$27,1)/$D38)^(-'설정'!$C$7))&gt;('설정'!$C$4+'설정'!$F$27),"실패",ROUND($E38*'설정'!$C$5*IF(('설정'!$C$27*IF($A38&gt;=31,1+'설정'!$C$14*'설정'!$E$27,1)/$D38)&lt;1,('설정'!$C$27*IF($A38&gt;=31,1+'설정'!$C$14*'설정'!$E$27,1)/$D38)^(-'설정'!$C$6),('설정'!$C$27*IF($A38&gt;=31,1+'설정'!$C$14*'설정'!$E$27,1)/$D38)^(-'설정'!$C$7)),0))</f>
        <v/>
      </c>
      <c r="N38" s="8">
        <f>IF($E38*'설정'!$C$5*IF(('설정'!$C$28*IF($A38&gt;=31,1+'설정'!$C$14*'설정'!$E$28,1)/$D38)&lt;1,('설정'!$C$28*IF($A38&gt;=31,1+'설정'!$C$14*'설정'!$E$28,1)/$D38)^(-'설정'!$C$6),('설정'!$C$28*IF($A38&gt;=31,1+'설정'!$C$14*'설정'!$E$28,1)/$D38)^(-'설정'!$C$7))&gt;('설정'!$C$4+'설정'!$F$28),"실패",ROUND($E38*'설정'!$C$5*IF(('설정'!$C$28*IF($A38&gt;=31,1+'설정'!$C$14*'설정'!$E$28,1)/$D38)&lt;1,('설정'!$C$28*IF($A38&gt;=31,1+'설정'!$C$14*'설정'!$E$28,1)/$D38)^(-'설정'!$C$6),('설정'!$C$28*IF($A38&gt;=31,1+'설정'!$C$14*'설정'!$E$28,1)/$D38)^(-'설정'!$C$7)),0))</f>
        <v/>
      </c>
      <c r="O38" s="8">
        <f>IF($E38*'설정'!$C$5*IF(('설정'!$C$29*IF($A38&gt;=31,1+'설정'!$C$14*'설정'!$E$29,1)/$D38)&lt;1,('설정'!$C$29*IF($A38&gt;=31,1+'설정'!$C$14*'설정'!$E$29,1)/$D38)^(-'설정'!$C$6),('설정'!$C$29*IF($A38&gt;=31,1+'설정'!$C$14*'설정'!$E$29,1)/$D38)^(-'설정'!$C$7))&gt;('설정'!$C$4+'설정'!$F$29),"실패",ROUND($E38*'설정'!$C$5*IF(('설정'!$C$29*IF($A38&gt;=31,1+'설정'!$C$14*'설정'!$E$29,1)/$D38)&lt;1,('설정'!$C$29*IF($A38&gt;=31,1+'설정'!$C$14*'설정'!$E$29,1)/$D38)^(-'설정'!$C$6),('설정'!$C$29*IF($A38&gt;=31,1+'설정'!$C$14*'설정'!$E$29,1)/$D38)^(-'설정'!$C$7)),0))</f>
        <v/>
      </c>
      <c r="P38" s="8">
        <f>IF($E38*'설정'!$C$5*IF(('설정'!$C$30*IF($A38&gt;=31,1+'설정'!$C$14*'설정'!$E$30,1)/$D38)&lt;1,('설정'!$C$30*IF($A38&gt;=31,1+'설정'!$C$14*'설정'!$E$30,1)/$D38)^(-'설정'!$C$6),('설정'!$C$30*IF($A38&gt;=31,1+'설정'!$C$14*'설정'!$E$30,1)/$D38)^(-'설정'!$C$7))&gt;('설정'!$C$4+'설정'!$F$30),"실패",ROUND($E38*'설정'!$C$5*IF(('설정'!$C$30*IF($A38&gt;=31,1+'설정'!$C$14*'설정'!$E$30,1)/$D38)&lt;1,('설정'!$C$30*IF($A38&gt;=31,1+'설정'!$C$14*'설정'!$E$30,1)/$D38)^(-'설정'!$C$6),('설정'!$C$30*IF($A38&gt;=31,1+'설정'!$C$14*'설정'!$E$30,1)/$D38)^(-'설정'!$C$7)),0))</f>
        <v/>
      </c>
      <c r="Q38" s="8">
        <f>IF($E38*'설정'!$C$5*IF(('설정'!$C$31*IF($A38&gt;=31,1+'설정'!$C$14*'설정'!$E$31,1)/$D38)&lt;1,('설정'!$C$31*IF($A38&gt;=31,1+'설정'!$C$14*'설정'!$E$31,1)/$D38)^(-'설정'!$C$6),('설정'!$C$31*IF($A38&gt;=31,1+'설정'!$C$14*'설정'!$E$31,1)/$D38)^(-'설정'!$C$7))&gt;('설정'!$C$4+'설정'!$F$31),"실패",ROUND($E38*'설정'!$C$5*IF(('설정'!$C$31*IF($A38&gt;=31,1+'설정'!$C$14*'설정'!$E$31,1)/$D38)&lt;1,('설정'!$C$31*IF($A38&gt;=31,1+'설정'!$C$14*'설정'!$E$31,1)/$D38)^(-'설정'!$C$6),('설정'!$C$31*IF($A38&gt;=31,1+'설정'!$C$14*'설정'!$E$31,1)/$D38)^(-'설정'!$C$7)),0))</f>
        <v/>
      </c>
      <c r="R38" s="8">
        <f>IF($E38*'설정'!$C$5*IF(('설정'!$C$32*IF($A38&gt;=31,1+'설정'!$C$14*'설정'!$E$32,1)/$D38)&lt;1,('설정'!$C$32*IF($A38&gt;=31,1+'설정'!$C$14*'설정'!$E$32,1)/$D38)^(-'설정'!$C$6),('설정'!$C$32*IF($A38&gt;=31,1+'설정'!$C$14*'설정'!$E$32,1)/$D38)^(-'설정'!$C$7))&gt;('설정'!$C$4+'설정'!$F$32),"실패",ROUND($E38*'설정'!$C$5*IF(('설정'!$C$32*IF($A38&gt;=31,1+'설정'!$C$14*'설정'!$E$32,1)/$D38)&lt;1,('설정'!$C$32*IF($A38&gt;=31,1+'설정'!$C$14*'설정'!$E$32,1)/$D38)^(-'설정'!$C$6),('설정'!$C$32*IF($A38&gt;=31,1+'설정'!$C$14*'설정'!$E$32,1)/$D38)^(-'설정'!$C$7)),0))</f>
        <v/>
      </c>
      <c r="S38" s="8">
        <f>IF($E38*'설정'!$C$5*IF(('설정'!$C$33*IF($A38&gt;=31,1+'설정'!$C$14*'설정'!$E$33,1)/$D38)&lt;1,('설정'!$C$33*IF($A38&gt;=31,1+'설정'!$C$14*'설정'!$E$33,1)/$D38)^(-'설정'!$C$6),('설정'!$C$33*IF($A38&gt;=31,1+'설정'!$C$14*'설정'!$E$33,1)/$D38)^(-'설정'!$C$7))&gt;('설정'!$C$4+'설정'!$F$33),"실패",ROUND($E38*'설정'!$C$5*IF(('설정'!$C$33*IF($A38&gt;=31,1+'설정'!$C$14*'설정'!$E$33,1)/$D38)&lt;1,('설정'!$C$33*IF($A38&gt;=31,1+'설정'!$C$14*'설정'!$E$33,1)/$D38)^(-'설정'!$C$6),('설정'!$C$33*IF($A38&gt;=31,1+'설정'!$C$14*'설정'!$E$33,1)/$D38)^(-'설정'!$C$7)),0))</f>
        <v/>
      </c>
      <c r="T38" s="8">
        <f>IF($E38*'설정'!$C$5*IF(('설정'!$C$34*IF($A38&gt;=31,1+'설정'!$C$14*'설정'!$E$34,1)/$D38)&lt;1,('설정'!$C$34*IF($A38&gt;=31,1+'설정'!$C$14*'설정'!$E$34,1)/$D38)^(-'설정'!$C$6),('설정'!$C$34*IF($A38&gt;=31,1+'설정'!$C$14*'설정'!$E$34,1)/$D38)^(-'설정'!$C$7))&gt;('설정'!$C$4+'설정'!$F$34),"실패",ROUND($E38*'설정'!$C$5*IF(('설정'!$C$34*IF($A38&gt;=31,1+'설정'!$C$14*'설정'!$E$34,1)/$D38)&lt;1,('설정'!$C$34*IF($A38&gt;=31,1+'설정'!$C$14*'설정'!$E$34,1)/$D38)^(-'설정'!$C$6),('설정'!$C$34*IF($A38&gt;=31,1+'설정'!$C$14*'설정'!$E$34,1)/$D38)^(-'설정'!$C$7)),0))</f>
        <v/>
      </c>
      <c r="U38" s="8">
        <f>IF($E38*'설정'!$C$5*IF(('설정'!$C$35*IF($A38&gt;=31,1+'설정'!$C$14*'설정'!$E$35,1)/$D38)&lt;1,('설정'!$C$35*IF($A38&gt;=31,1+'설정'!$C$14*'설정'!$E$35,1)/$D38)^(-'설정'!$C$6),('설정'!$C$35*IF($A38&gt;=31,1+'설정'!$C$14*'설정'!$E$35,1)/$D38)^(-'설정'!$C$7))&gt;('설정'!$C$4+'설정'!$F$35),"실패",ROUND($E38*'설정'!$C$5*IF(('설정'!$C$35*IF($A38&gt;=31,1+'설정'!$C$14*'설정'!$E$35,1)/$D38)&lt;1,('설정'!$C$35*IF($A38&gt;=31,1+'설정'!$C$14*'설정'!$E$35,1)/$D38)^(-'설정'!$C$6),('설정'!$C$35*IF($A38&gt;=31,1+'설정'!$C$14*'설정'!$E$35,1)/$D38)^(-'설정'!$C$7)),0))</f>
        <v/>
      </c>
      <c r="V38" s="8">
        <f>IF($E38*'설정'!$C$5*IF(('설정'!$C$36*IF($A38&gt;=31,1+'설정'!$C$14*'설정'!$E$36,1)/$D38)&lt;1,('설정'!$C$36*IF($A38&gt;=31,1+'설정'!$C$14*'설정'!$E$36,1)/$D38)^(-'설정'!$C$6),('설정'!$C$36*IF($A38&gt;=31,1+'설정'!$C$14*'설정'!$E$36,1)/$D38)^(-'설정'!$C$7))&gt;('설정'!$C$4+'설정'!$F$36),"실패",ROUND($E38*'설정'!$C$5*IF(('설정'!$C$36*IF($A38&gt;=31,1+'설정'!$C$14*'설정'!$E$36,1)/$D38)&lt;1,('설정'!$C$36*IF($A38&gt;=31,1+'설정'!$C$14*'설정'!$E$36,1)/$D38)^(-'설정'!$C$6),('설정'!$C$36*IF($A38&gt;=31,1+'설정'!$C$14*'설정'!$E$36,1)/$D38)^(-'설정'!$C$7)),0))</f>
        <v/>
      </c>
      <c r="W38" s="8">
        <f>IF($E38*'설정'!$C$5*IF(('설정'!$C$37*IF($A38&gt;=31,1+'설정'!$C$14*'설정'!$E$37,1)/$D38)&lt;1,('설정'!$C$37*IF($A38&gt;=31,1+'설정'!$C$14*'설정'!$E$37,1)/$D38)^(-'설정'!$C$6),('설정'!$C$37*IF($A38&gt;=31,1+'설정'!$C$14*'설정'!$E$37,1)/$D38)^(-'설정'!$C$7))&gt;('설정'!$C$4+'설정'!$F$37),"실패",ROUND($E38*'설정'!$C$5*IF(('설정'!$C$37*IF($A38&gt;=31,1+'설정'!$C$14*'설정'!$E$37,1)/$D38)&lt;1,('설정'!$C$37*IF($A38&gt;=31,1+'설정'!$C$14*'설정'!$E$37,1)/$D38)^(-'설정'!$C$6),('설정'!$C$37*IF($A38&gt;=31,1+'설정'!$C$14*'설정'!$E$37,1)/$D38)^(-'설정'!$C$7)),0))</f>
        <v/>
      </c>
    </row>
    <row r="39">
      <c r="A39" t="n">
        <v>37</v>
      </c>
      <c r="B39" t="inlineStr">
        <is>
          <t>보통</t>
        </is>
      </c>
      <c r="C39" t="inlineStr"/>
      <c r="D39" s="6" t="n">
        <v>400000</v>
      </c>
      <c r="E39" t="n">
        <v>72</v>
      </c>
      <c r="F39" s="6" t="n">
        <v>8010</v>
      </c>
      <c r="G39" t="n">
        <v>33</v>
      </c>
      <c r="H39" s="8">
        <f>IF($E39*'설정'!$C$5*IF(('설정'!$C$22*IF($A39&gt;=31,1+'설정'!$C$14*'설정'!$E$22,1)/$D39)&lt;1,('설정'!$C$22*IF($A39&gt;=31,1+'설정'!$C$14*'설정'!$E$22,1)/$D39)^(-'설정'!$C$6),('설정'!$C$22*IF($A39&gt;=31,1+'설정'!$C$14*'설정'!$E$22,1)/$D39)^(-'설정'!$C$7))&gt;('설정'!$C$4+'설정'!$F$22),"실패",ROUND($E39*'설정'!$C$5*IF(('설정'!$C$22*IF($A39&gt;=31,1+'설정'!$C$14*'설정'!$E$22,1)/$D39)&lt;1,('설정'!$C$22*IF($A39&gt;=31,1+'설정'!$C$14*'설정'!$E$22,1)/$D39)^(-'설정'!$C$6),('설정'!$C$22*IF($A39&gt;=31,1+'설정'!$C$14*'설정'!$E$22,1)/$D39)^(-'설정'!$C$7)),0))</f>
        <v/>
      </c>
      <c r="I39" s="8">
        <f>IF($E39*'설정'!$C$5*IF(('설정'!$C$23*IF($A39&gt;=31,1+'설정'!$C$14*'설정'!$E$23,1)/$D39)&lt;1,('설정'!$C$23*IF($A39&gt;=31,1+'설정'!$C$14*'설정'!$E$23,1)/$D39)^(-'설정'!$C$6),('설정'!$C$23*IF($A39&gt;=31,1+'설정'!$C$14*'설정'!$E$23,1)/$D39)^(-'설정'!$C$7))&gt;('설정'!$C$4+'설정'!$F$23),"실패",ROUND($E39*'설정'!$C$5*IF(('설정'!$C$23*IF($A39&gt;=31,1+'설정'!$C$14*'설정'!$E$23,1)/$D39)&lt;1,('설정'!$C$23*IF($A39&gt;=31,1+'설정'!$C$14*'설정'!$E$23,1)/$D39)^(-'설정'!$C$6),('설정'!$C$23*IF($A39&gt;=31,1+'설정'!$C$14*'설정'!$E$23,1)/$D39)^(-'설정'!$C$7)),0))</f>
        <v/>
      </c>
      <c r="J39" s="8">
        <f>IF($E39*'설정'!$C$5*IF(('설정'!$C$24*IF($A39&gt;=31,1+'설정'!$C$14*'설정'!$E$24,1)/$D39)&lt;1,('설정'!$C$24*IF($A39&gt;=31,1+'설정'!$C$14*'설정'!$E$24,1)/$D39)^(-'설정'!$C$6),('설정'!$C$24*IF($A39&gt;=31,1+'설정'!$C$14*'설정'!$E$24,1)/$D39)^(-'설정'!$C$7))&gt;('설정'!$C$4+'설정'!$F$24),"실패",ROUND($E39*'설정'!$C$5*IF(('설정'!$C$24*IF($A39&gt;=31,1+'설정'!$C$14*'설정'!$E$24,1)/$D39)&lt;1,('설정'!$C$24*IF($A39&gt;=31,1+'설정'!$C$14*'설정'!$E$24,1)/$D39)^(-'설정'!$C$6),('설정'!$C$24*IF($A39&gt;=31,1+'설정'!$C$14*'설정'!$E$24,1)/$D39)^(-'설정'!$C$7)),0))</f>
        <v/>
      </c>
      <c r="K39" s="8">
        <f>IF($E39*'설정'!$C$5*IF(('설정'!$C$25*IF($A39&gt;=31,1+'설정'!$C$14*'설정'!$E$25,1)/$D39)&lt;1,('설정'!$C$25*IF($A39&gt;=31,1+'설정'!$C$14*'설정'!$E$25,1)/$D39)^(-'설정'!$C$6),('설정'!$C$25*IF($A39&gt;=31,1+'설정'!$C$14*'설정'!$E$25,1)/$D39)^(-'설정'!$C$7))&gt;('설정'!$C$4+'설정'!$F$25),"실패",ROUND($E39*'설정'!$C$5*IF(('설정'!$C$25*IF($A39&gt;=31,1+'설정'!$C$14*'설정'!$E$25,1)/$D39)&lt;1,('설정'!$C$25*IF($A39&gt;=31,1+'설정'!$C$14*'설정'!$E$25,1)/$D39)^(-'설정'!$C$6),('설정'!$C$25*IF($A39&gt;=31,1+'설정'!$C$14*'설정'!$E$25,1)/$D39)^(-'설정'!$C$7)),0))</f>
        <v/>
      </c>
      <c r="L39" s="8">
        <f>IF($E39*'설정'!$C$5*IF(('설정'!$C$26*IF($A39&gt;=31,1+'설정'!$C$14*'설정'!$E$26,1)/$D39)&lt;1,('설정'!$C$26*IF($A39&gt;=31,1+'설정'!$C$14*'설정'!$E$26,1)/$D39)^(-'설정'!$C$6),('설정'!$C$26*IF($A39&gt;=31,1+'설정'!$C$14*'설정'!$E$26,1)/$D39)^(-'설정'!$C$7))&gt;('설정'!$C$4+'설정'!$F$26),"실패",ROUND($E39*'설정'!$C$5*IF(('설정'!$C$26*IF($A39&gt;=31,1+'설정'!$C$14*'설정'!$E$26,1)/$D39)&lt;1,('설정'!$C$26*IF($A39&gt;=31,1+'설정'!$C$14*'설정'!$E$26,1)/$D39)^(-'설정'!$C$6),('설정'!$C$26*IF($A39&gt;=31,1+'설정'!$C$14*'설정'!$E$26,1)/$D39)^(-'설정'!$C$7)),0))</f>
        <v/>
      </c>
      <c r="M39" s="8">
        <f>IF($E39*'설정'!$C$5*IF(('설정'!$C$27*IF($A39&gt;=31,1+'설정'!$C$14*'설정'!$E$27,1)/$D39)&lt;1,('설정'!$C$27*IF($A39&gt;=31,1+'설정'!$C$14*'설정'!$E$27,1)/$D39)^(-'설정'!$C$6),('설정'!$C$27*IF($A39&gt;=31,1+'설정'!$C$14*'설정'!$E$27,1)/$D39)^(-'설정'!$C$7))&gt;('설정'!$C$4+'설정'!$F$27),"실패",ROUND($E39*'설정'!$C$5*IF(('설정'!$C$27*IF($A39&gt;=31,1+'설정'!$C$14*'설정'!$E$27,1)/$D39)&lt;1,('설정'!$C$27*IF($A39&gt;=31,1+'설정'!$C$14*'설정'!$E$27,1)/$D39)^(-'설정'!$C$6),('설정'!$C$27*IF($A39&gt;=31,1+'설정'!$C$14*'설정'!$E$27,1)/$D39)^(-'설정'!$C$7)),0))</f>
        <v/>
      </c>
      <c r="N39" s="8">
        <f>IF($E39*'설정'!$C$5*IF(('설정'!$C$28*IF($A39&gt;=31,1+'설정'!$C$14*'설정'!$E$28,1)/$D39)&lt;1,('설정'!$C$28*IF($A39&gt;=31,1+'설정'!$C$14*'설정'!$E$28,1)/$D39)^(-'설정'!$C$6),('설정'!$C$28*IF($A39&gt;=31,1+'설정'!$C$14*'설정'!$E$28,1)/$D39)^(-'설정'!$C$7))&gt;('설정'!$C$4+'설정'!$F$28),"실패",ROUND($E39*'설정'!$C$5*IF(('설정'!$C$28*IF($A39&gt;=31,1+'설정'!$C$14*'설정'!$E$28,1)/$D39)&lt;1,('설정'!$C$28*IF($A39&gt;=31,1+'설정'!$C$14*'설정'!$E$28,1)/$D39)^(-'설정'!$C$6),('설정'!$C$28*IF($A39&gt;=31,1+'설정'!$C$14*'설정'!$E$28,1)/$D39)^(-'설정'!$C$7)),0))</f>
        <v/>
      </c>
      <c r="O39" s="8">
        <f>IF($E39*'설정'!$C$5*IF(('설정'!$C$29*IF($A39&gt;=31,1+'설정'!$C$14*'설정'!$E$29,1)/$D39)&lt;1,('설정'!$C$29*IF($A39&gt;=31,1+'설정'!$C$14*'설정'!$E$29,1)/$D39)^(-'설정'!$C$6),('설정'!$C$29*IF($A39&gt;=31,1+'설정'!$C$14*'설정'!$E$29,1)/$D39)^(-'설정'!$C$7))&gt;('설정'!$C$4+'설정'!$F$29),"실패",ROUND($E39*'설정'!$C$5*IF(('설정'!$C$29*IF($A39&gt;=31,1+'설정'!$C$14*'설정'!$E$29,1)/$D39)&lt;1,('설정'!$C$29*IF($A39&gt;=31,1+'설정'!$C$14*'설정'!$E$29,1)/$D39)^(-'설정'!$C$6),('설정'!$C$29*IF($A39&gt;=31,1+'설정'!$C$14*'설정'!$E$29,1)/$D39)^(-'설정'!$C$7)),0))</f>
        <v/>
      </c>
      <c r="P39" s="8">
        <f>IF($E39*'설정'!$C$5*IF(('설정'!$C$30*IF($A39&gt;=31,1+'설정'!$C$14*'설정'!$E$30,1)/$D39)&lt;1,('설정'!$C$30*IF($A39&gt;=31,1+'설정'!$C$14*'설정'!$E$30,1)/$D39)^(-'설정'!$C$6),('설정'!$C$30*IF($A39&gt;=31,1+'설정'!$C$14*'설정'!$E$30,1)/$D39)^(-'설정'!$C$7))&gt;('설정'!$C$4+'설정'!$F$30),"실패",ROUND($E39*'설정'!$C$5*IF(('설정'!$C$30*IF($A39&gt;=31,1+'설정'!$C$14*'설정'!$E$30,1)/$D39)&lt;1,('설정'!$C$30*IF($A39&gt;=31,1+'설정'!$C$14*'설정'!$E$30,1)/$D39)^(-'설정'!$C$6),('설정'!$C$30*IF($A39&gt;=31,1+'설정'!$C$14*'설정'!$E$30,1)/$D39)^(-'설정'!$C$7)),0))</f>
        <v/>
      </c>
      <c r="Q39" s="8">
        <f>IF($E39*'설정'!$C$5*IF(('설정'!$C$31*IF($A39&gt;=31,1+'설정'!$C$14*'설정'!$E$31,1)/$D39)&lt;1,('설정'!$C$31*IF($A39&gt;=31,1+'설정'!$C$14*'설정'!$E$31,1)/$D39)^(-'설정'!$C$6),('설정'!$C$31*IF($A39&gt;=31,1+'설정'!$C$14*'설정'!$E$31,1)/$D39)^(-'설정'!$C$7))&gt;('설정'!$C$4+'설정'!$F$31),"실패",ROUND($E39*'설정'!$C$5*IF(('설정'!$C$31*IF($A39&gt;=31,1+'설정'!$C$14*'설정'!$E$31,1)/$D39)&lt;1,('설정'!$C$31*IF($A39&gt;=31,1+'설정'!$C$14*'설정'!$E$31,1)/$D39)^(-'설정'!$C$6),('설정'!$C$31*IF($A39&gt;=31,1+'설정'!$C$14*'설정'!$E$31,1)/$D39)^(-'설정'!$C$7)),0))</f>
        <v/>
      </c>
      <c r="R39" s="8">
        <f>IF($E39*'설정'!$C$5*IF(('설정'!$C$32*IF($A39&gt;=31,1+'설정'!$C$14*'설정'!$E$32,1)/$D39)&lt;1,('설정'!$C$32*IF($A39&gt;=31,1+'설정'!$C$14*'설정'!$E$32,1)/$D39)^(-'설정'!$C$6),('설정'!$C$32*IF($A39&gt;=31,1+'설정'!$C$14*'설정'!$E$32,1)/$D39)^(-'설정'!$C$7))&gt;('설정'!$C$4+'설정'!$F$32),"실패",ROUND($E39*'설정'!$C$5*IF(('설정'!$C$32*IF($A39&gt;=31,1+'설정'!$C$14*'설정'!$E$32,1)/$D39)&lt;1,('설정'!$C$32*IF($A39&gt;=31,1+'설정'!$C$14*'설정'!$E$32,1)/$D39)^(-'설정'!$C$6),('설정'!$C$32*IF($A39&gt;=31,1+'설정'!$C$14*'설정'!$E$32,1)/$D39)^(-'설정'!$C$7)),0))</f>
        <v/>
      </c>
      <c r="S39" s="8">
        <f>IF($E39*'설정'!$C$5*IF(('설정'!$C$33*IF($A39&gt;=31,1+'설정'!$C$14*'설정'!$E$33,1)/$D39)&lt;1,('설정'!$C$33*IF($A39&gt;=31,1+'설정'!$C$14*'설정'!$E$33,1)/$D39)^(-'설정'!$C$6),('설정'!$C$33*IF($A39&gt;=31,1+'설정'!$C$14*'설정'!$E$33,1)/$D39)^(-'설정'!$C$7))&gt;('설정'!$C$4+'설정'!$F$33),"실패",ROUND($E39*'설정'!$C$5*IF(('설정'!$C$33*IF($A39&gt;=31,1+'설정'!$C$14*'설정'!$E$33,1)/$D39)&lt;1,('설정'!$C$33*IF($A39&gt;=31,1+'설정'!$C$14*'설정'!$E$33,1)/$D39)^(-'설정'!$C$6),('설정'!$C$33*IF($A39&gt;=31,1+'설정'!$C$14*'설정'!$E$33,1)/$D39)^(-'설정'!$C$7)),0))</f>
        <v/>
      </c>
      <c r="T39" s="8">
        <f>IF($E39*'설정'!$C$5*IF(('설정'!$C$34*IF($A39&gt;=31,1+'설정'!$C$14*'설정'!$E$34,1)/$D39)&lt;1,('설정'!$C$34*IF($A39&gt;=31,1+'설정'!$C$14*'설정'!$E$34,1)/$D39)^(-'설정'!$C$6),('설정'!$C$34*IF($A39&gt;=31,1+'설정'!$C$14*'설정'!$E$34,1)/$D39)^(-'설정'!$C$7))&gt;('설정'!$C$4+'설정'!$F$34),"실패",ROUND($E39*'설정'!$C$5*IF(('설정'!$C$34*IF($A39&gt;=31,1+'설정'!$C$14*'설정'!$E$34,1)/$D39)&lt;1,('설정'!$C$34*IF($A39&gt;=31,1+'설정'!$C$14*'설정'!$E$34,1)/$D39)^(-'설정'!$C$6),('설정'!$C$34*IF($A39&gt;=31,1+'설정'!$C$14*'설정'!$E$34,1)/$D39)^(-'설정'!$C$7)),0))</f>
        <v/>
      </c>
      <c r="U39" s="8">
        <f>IF($E39*'설정'!$C$5*IF(('설정'!$C$35*IF($A39&gt;=31,1+'설정'!$C$14*'설정'!$E$35,1)/$D39)&lt;1,('설정'!$C$35*IF($A39&gt;=31,1+'설정'!$C$14*'설정'!$E$35,1)/$D39)^(-'설정'!$C$6),('설정'!$C$35*IF($A39&gt;=31,1+'설정'!$C$14*'설정'!$E$35,1)/$D39)^(-'설정'!$C$7))&gt;('설정'!$C$4+'설정'!$F$35),"실패",ROUND($E39*'설정'!$C$5*IF(('설정'!$C$35*IF($A39&gt;=31,1+'설정'!$C$14*'설정'!$E$35,1)/$D39)&lt;1,('설정'!$C$35*IF($A39&gt;=31,1+'설정'!$C$14*'설정'!$E$35,1)/$D39)^(-'설정'!$C$6),('설정'!$C$35*IF($A39&gt;=31,1+'설정'!$C$14*'설정'!$E$35,1)/$D39)^(-'설정'!$C$7)),0))</f>
        <v/>
      </c>
      <c r="V39" s="8">
        <f>IF($E39*'설정'!$C$5*IF(('설정'!$C$36*IF($A39&gt;=31,1+'설정'!$C$14*'설정'!$E$36,1)/$D39)&lt;1,('설정'!$C$36*IF($A39&gt;=31,1+'설정'!$C$14*'설정'!$E$36,1)/$D39)^(-'설정'!$C$6),('설정'!$C$36*IF($A39&gt;=31,1+'설정'!$C$14*'설정'!$E$36,1)/$D39)^(-'설정'!$C$7))&gt;('설정'!$C$4+'설정'!$F$36),"실패",ROUND($E39*'설정'!$C$5*IF(('설정'!$C$36*IF($A39&gt;=31,1+'설정'!$C$14*'설정'!$E$36,1)/$D39)&lt;1,('설정'!$C$36*IF($A39&gt;=31,1+'설정'!$C$14*'설정'!$E$36,1)/$D39)^(-'설정'!$C$6),('설정'!$C$36*IF($A39&gt;=31,1+'설정'!$C$14*'설정'!$E$36,1)/$D39)^(-'설정'!$C$7)),0))</f>
        <v/>
      </c>
      <c r="W39" s="8">
        <f>IF($E39*'설정'!$C$5*IF(('설정'!$C$37*IF($A39&gt;=31,1+'설정'!$C$14*'설정'!$E$37,1)/$D39)&lt;1,('설정'!$C$37*IF($A39&gt;=31,1+'설정'!$C$14*'설정'!$E$37,1)/$D39)^(-'설정'!$C$6),('설정'!$C$37*IF($A39&gt;=31,1+'설정'!$C$14*'설정'!$E$37,1)/$D39)^(-'설정'!$C$7))&gt;('설정'!$C$4+'설정'!$F$37),"실패",ROUND($E39*'설정'!$C$5*IF(('설정'!$C$37*IF($A39&gt;=31,1+'설정'!$C$14*'설정'!$E$37,1)/$D39)&lt;1,('설정'!$C$37*IF($A39&gt;=31,1+'설정'!$C$14*'설정'!$E$37,1)/$D39)^(-'설정'!$C$6),('설정'!$C$37*IF($A39&gt;=31,1+'설정'!$C$14*'설정'!$E$37,1)/$D39)^(-'설정'!$C$7)),0))</f>
        <v/>
      </c>
    </row>
    <row r="40">
      <c r="A40" t="n">
        <v>38</v>
      </c>
      <c r="B40" t="inlineStr">
        <is>
          <t>보통</t>
        </is>
      </c>
      <c r="C40" t="inlineStr"/>
      <c r="D40" s="6" t="n">
        <v>428000</v>
      </c>
      <c r="E40" t="n">
        <v>72</v>
      </c>
      <c r="F40" s="6" t="n">
        <v>8570</v>
      </c>
      <c r="G40" t="n">
        <v>34</v>
      </c>
      <c r="H40" s="8">
        <f>IF($E40*'설정'!$C$5*IF(('설정'!$C$22*IF($A40&gt;=31,1+'설정'!$C$14*'설정'!$E$22,1)/$D40)&lt;1,('설정'!$C$22*IF($A40&gt;=31,1+'설정'!$C$14*'설정'!$E$22,1)/$D40)^(-'설정'!$C$6),('설정'!$C$22*IF($A40&gt;=31,1+'설정'!$C$14*'설정'!$E$22,1)/$D40)^(-'설정'!$C$7))&gt;('설정'!$C$4+'설정'!$F$22),"실패",ROUND($E40*'설정'!$C$5*IF(('설정'!$C$22*IF($A40&gt;=31,1+'설정'!$C$14*'설정'!$E$22,1)/$D40)&lt;1,('설정'!$C$22*IF($A40&gt;=31,1+'설정'!$C$14*'설정'!$E$22,1)/$D40)^(-'설정'!$C$6),('설정'!$C$22*IF($A40&gt;=31,1+'설정'!$C$14*'설정'!$E$22,1)/$D40)^(-'설정'!$C$7)),0))</f>
        <v/>
      </c>
      <c r="I40" s="8">
        <f>IF($E40*'설정'!$C$5*IF(('설정'!$C$23*IF($A40&gt;=31,1+'설정'!$C$14*'설정'!$E$23,1)/$D40)&lt;1,('설정'!$C$23*IF($A40&gt;=31,1+'설정'!$C$14*'설정'!$E$23,1)/$D40)^(-'설정'!$C$6),('설정'!$C$23*IF($A40&gt;=31,1+'설정'!$C$14*'설정'!$E$23,1)/$D40)^(-'설정'!$C$7))&gt;('설정'!$C$4+'설정'!$F$23),"실패",ROUND($E40*'설정'!$C$5*IF(('설정'!$C$23*IF($A40&gt;=31,1+'설정'!$C$14*'설정'!$E$23,1)/$D40)&lt;1,('설정'!$C$23*IF($A40&gt;=31,1+'설정'!$C$14*'설정'!$E$23,1)/$D40)^(-'설정'!$C$6),('설정'!$C$23*IF($A40&gt;=31,1+'설정'!$C$14*'설정'!$E$23,1)/$D40)^(-'설정'!$C$7)),0))</f>
        <v/>
      </c>
      <c r="J40" s="8">
        <f>IF($E40*'설정'!$C$5*IF(('설정'!$C$24*IF($A40&gt;=31,1+'설정'!$C$14*'설정'!$E$24,1)/$D40)&lt;1,('설정'!$C$24*IF($A40&gt;=31,1+'설정'!$C$14*'설정'!$E$24,1)/$D40)^(-'설정'!$C$6),('설정'!$C$24*IF($A40&gt;=31,1+'설정'!$C$14*'설정'!$E$24,1)/$D40)^(-'설정'!$C$7))&gt;('설정'!$C$4+'설정'!$F$24),"실패",ROUND($E40*'설정'!$C$5*IF(('설정'!$C$24*IF($A40&gt;=31,1+'설정'!$C$14*'설정'!$E$24,1)/$D40)&lt;1,('설정'!$C$24*IF($A40&gt;=31,1+'설정'!$C$14*'설정'!$E$24,1)/$D40)^(-'설정'!$C$6),('설정'!$C$24*IF($A40&gt;=31,1+'설정'!$C$14*'설정'!$E$24,1)/$D40)^(-'설정'!$C$7)),0))</f>
        <v/>
      </c>
      <c r="K40" s="8">
        <f>IF($E40*'설정'!$C$5*IF(('설정'!$C$25*IF($A40&gt;=31,1+'설정'!$C$14*'설정'!$E$25,1)/$D40)&lt;1,('설정'!$C$25*IF($A40&gt;=31,1+'설정'!$C$14*'설정'!$E$25,1)/$D40)^(-'설정'!$C$6),('설정'!$C$25*IF($A40&gt;=31,1+'설정'!$C$14*'설정'!$E$25,1)/$D40)^(-'설정'!$C$7))&gt;('설정'!$C$4+'설정'!$F$25),"실패",ROUND($E40*'설정'!$C$5*IF(('설정'!$C$25*IF($A40&gt;=31,1+'설정'!$C$14*'설정'!$E$25,1)/$D40)&lt;1,('설정'!$C$25*IF($A40&gt;=31,1+'설정'!$C$14*'설정'!$E$25,1)/$D40)^(-'설정'!$C$6),('설정'!$C$25*IF($A40&gt;=31,1+'설정'!$C$14*'설정'!$E$25,1)/$D40)^(-'설정'!$C$7)),0))</f>
        <v/>
      </c>
      <c r="L40" s="8">
        <f>IF($E40*'설정'!$C$5*IF(('설정'!$C$26*IF($A40&gt;=31,1+'설정'!$C$14*'설정'!$E$26,1)/$D40)&lt;1,('설정'!$C$26*IF($A40&gt;=31,1+'설정'!$C$14*'설정'!$E$26,1)/$D40)^(-'설정'!$C$6),('설정'!$C$26*IF($A40&gt;=31,1+'설정'!$C$14*'설정'!$E$26,1)/$D40)^(-'설정'!$C$7))&gt;('설정'!$C$4+'설정'!$F$26),"실패",ROUND($E40*'설정'!$C$5*IF(('설정'!$C$26*IF($A40&gt;=31,1+'설정'!$C$14*'설정'!$E$26,1)/$D40)&lt;1,('설정'!$C$26*IF($A40&gt;=31,1+'설정'!$C$14*'설정'!$E$26,1)/$D40)^(-'설정'!$C$6),('설정'!$C$26*IF($A40&gt;=31,1+'설정'!$C$14*'설정'!$E$26,1)/$D40)^(-'설정'!$C$7)),0))</f>
        <v/>
      </c>
      <c r="M40" s="8">
        <f>IF($E40*'설정'!$C$5*IF(('설정'!$C$27*IF($A40&gt;=31,1+'설정'!$C$14*'설정'!$E$27,1)/$D40)&lt;1,('설정'!$C$27*IF($A40&gt;=31,1+'설정'!$C$14*'설정'!$E$27,1)/$D40)^(-'설정'!$C$6),('설정'!$C$27*IF($A40&gt;=31,1+'설정'!$C$14*'설정'!$E$27,1)/$D40)^(-'설정'!$C$7))&gt;('설정'!$C$4+'설정'!$F$27),"실패",ROUND($E40*'설정'!$C$5*IF(('설정'!$C$27*IF($A40&gt;=31,1+'설정'!$C$14*'설정'!$E$27,1)/$D40)&lt;1,('설정'!$C$27*IF($A40&gt;=31,1+'설정'!$C$14*'설정'!$E$27,1)/$D40)^(-'설정'!$C$6),('설정'!$C$27*IF($A40&gt;=31,1+'설정'!$C$14*'설정'!$E$27,1)/$D40)^(-'설정'!$C$7)),0))</f>
        <v/>
      </c>
      <c r="N40" s="8">
        <f>IF($E40*'설정'!$C$5*IF(('설정'!$C$28*IF($A40&gt;=31,1+'설정'!$C$14*'설정'!$E$28,1)/$D40)&lt;1,('설정'!$C$28*IF($A40&gt;=31,1+'설정'!$C$14*'설정'!$E$28,1)/$D40)^(-'설정'!$C$6),('설정'!$C$28*IF($A40&gt;=31,1+'설정'!$C$14*'설정'!$E$28,1)/$D40)^(-'설정'!$C$7))&gt;('설정'!$C$4+'설정'!$F$28),"실패",ROUND($E40*'설정'!$C$5*IF(('설정'!$C$28*IF($A40&gt;=31,1+'설정'!$C$14*'설정'!$E$28,1)/$D40)&lt;1,('설정'!$C$28*IF($A40&gt;=31,1+'설정'!$C$14*'설정'!$E$28,1)/$D40)^(-'설정'!$C$6),('설정'!$C$28*IF($A40&gt;=31,1+'설정'!$C$14*'설정'!$E$28,1)/$D40)^(-'설정'!$C$7)),0))</f>
        <v/>
      </c>
      <c r="O40" s="8">
        <f>IF($E40*'설정'!$C$5*IF(('설정'!$C$29*IF($A40&gt;=31,1+'설정'!$C$14*'설정'!$E$29,1)/$D40)&lt;1,('설정'!$C$29*IF($A40&gt;=31,1+'설정'!$C$14*'설정'!$E$29,1)/$D40)^(-'설정'!$C$6),('설정'!$C$29*IF($A40&gt;=31,1+'설정'!$C$14*'설정'!$E$29,1)/$D40)^(-'설정'!$C$7))&gt;('설정'!$C$4+'설정'!$F$29),"실패",ROUND($E40*'설정'!$C$5*IF(('설정'!$C$29*IF($A40&gt;=31,1+'설정'!$C$14*'설정'!$E$29,1)/$D40)&lt;1,('설정'!$C$29*IF($A40&gt;=31,1+'설정'!$C$14*'설정'!$E$29,1)/$D40)^(-'설정'!$C$6),('설정'!$C$29*IF($A40&gt;=31,1+'설정'!$C$14*'설정'!$E$29,1)/$D40)^(-'설정'!$C$7)),0))</f>
        <v/>
      </c>
      <c r="P40" s="8">
        <f>IF($E40*'설정'!$C$5*IF(('설정'!$C$30*IF($A40&gt;=31,1+'설정'!$C$14*'설정'!$E$30,1)/$D40)&lt;1,('설정'!$C$30*IF($A40&gt;=31,1+'설정'!$C$14*'설정'!$E$30,1)/$D40)^(-'설정'!$C$6),('설정'!$C$30*IF($A40&gt;=31,1+'설정'!$C$14*'설정'!$E$30,1)/$D40)^(-'설정'!$C$7))&gt;('설정'!$C$4+'설정'!$F$30),"실패",ROUND($E40*'설정'!$C$5*IF(('설정'!$C$30*IF($A40&gt;=31,1+'설정'!$C$14*'설정'!$E$30,1)/$D40)&lt;1,('설정'!$C$30*IF($A40&gt;=31,1+'설정'!$C$14*'설정'!$E$30,1)/$D40)^(-'설정'!$C$6),('설정'!$C$30*IF($A40&gt;=31,1+'설정'!$C$14*'설정'!$E$30,1)/$D40)^(-'설정'!$C$7)),0))</f>
        <v/>
      </c>
      <c r="Q40" s="8">
        <f>IF($E40*'설정'!$C$5*IF(('설정'!$C$31*IF($A40&gt;=31,1+'설정'!$C$14*'설정'!$E$31,1)/$D40)&lt;1,('설정'!$C$31*IF($A40&gt;=31,1+'설정'!$C$14*'설정'!$E$31,1)/$D40)^(-'설정'!$C$6),('설정'!$C$31*IF($A40&gt;=31,1+'설정'!$C$14*'설정'!$E$31,1)/$D40)^(-'설정'!$C$7))&gt;('설정'!$C$4+'설정'!$F$31),"실패",ROUND($E40*'설정'!$C$5*IF(('설정'!$C$31*IF($A40&gt;=31,1+'설정'!$C$14*'설정'!$E$31,1)/$D40)&lt;1,('설정'!$C$31*IF($A40&gt;=31,1+'설정'!$C$14*'설정'!$E$31,1)/$D40)^(-'설정'!$C$6),('설정'!$C$31*IF($A40&gt;=31,1+'설정'!$C$14*'설정'!$E$31,1)/$D40)^(-'설정'!$C$7)),0))</f>
        <v/>
      </c>
      <c r="R40" s="8">
        <f>IF($E40*'설정'!$C$5*IF(('설정'!$C$32*IF($A40&gt;=31,1+'설정'!$C$14*'설정'!$E$32,1)/$D40)&lt;1,('설정'!$C$32*IF($A40&gt;=31,1+'설정'!$C$14*'설정'!$E$32,1)/$D40)^(-'설정'!$C$6),('설정'!$C$32*IF($A40&gt;=31,1+'설정'!$C$14*'설정'!$E$32,1)/$D40)^(-'설정'!$C$7))&gt;('설정'!$C$4+'설정'!$F$32),"실패",ROUND($E40*'설정'!$C$5*IF(('설정'!$C$32*IF($A40&gt;=31,1+'설정'!$C$14*'설정'!$E$32,1)/$D40)&lt;1,('설정'!$C$32*IF($A40&gt;=31,1+'설정'!$C$14*'설정'!$E$32,1)/$D40)^(-'설정'!$C$6),('설정'!$C$32*IF($A40&gt;=31,1+'설정'!$C$14*'설정'!$E$32,1)/$D40)^(-'설정'!$C$7)),0))</f>
        <v/>
      </c>
      <c r="S40" s="8">
        <f>IF($E40*'설정'!$C$5*IF(('설정'!$C$33*IF($A40&gt;=31,1+'설정'!$C$14*'설정'!$E$33,1)/$D40)&lt;1,('설정'!$C$33*IF($A40&gt;=31,1+'설정'!$C$14*'설정'!$E$33,1)/$D40)^(-'설정'!$C$6),('설정'!$C$33*IF($A40&gt;=31,1+'설정'!$C$14*'설정'!$E$33,1)/$D40)^(-'설정'!$C$7))&gt;('설정'!$C$4+'설정'!$F$33),"실패",ROUND($E40*'설정'!$C$5*IF(('설정'!$C$33*IF($A40&gt;=31,1+'설정'!$C$14*'설정'!$E$33,1)/$D40)&lt;1,('설정'!$C$33*IF($A40&gt;=31,1+'설정'!$C$14*'설정'!$E$33,1)/$D40)^(-'설정'!$C$6),('설정'!$C$33*IF($A40&gt;=31,1+'설정'!$C$14*'설정'!$E$33,1)/$D40)^(-'설정'!$C$7)),0))</f>
        <v/>
      </c>
      <c r="T40" s="8">
        <f>IF($E40*'설정'!$C$5*IF(('설정'!$C$34*IF($A40&gt;=31,1+'설정'!$C$14*'설정'!$E$34,1)/$D40)&lt;1,('설정'!$C$34*IF($A40&gt;=31,1+'설정'!$C$14*'설정'!$E$34,1)/$D40)^(-'설정'!$C$6),('설정'!$C$34*IF($A40&gt;=31,1+'설정'!$C$14*'설정'!$E$34,1)/$D40)^(-'설정'!$C$7))&gt;('설정'!$C$4+'설정'!$F$34),"실패",ROUND($E40*'설정'!$C$5*IF(('설정'!$C$34*IF($A40&gt;=31,1+'설정'!$C$14*'설정'!$E$34,1)/$D40)&lt;1,('설정'!$C$34*IF($A40&gt;=31,1+'설정'!$C$14*'설정'!$E$34,1)/$D40)^(-'설정'!$C$6),('설정'!$C$34*IF($A40&gt;=31,1+'설정'!$C$14*'설정'!$E$34,1)/$D40)^(-'설정'!$C$7)),0))</f>
        <v/>
      </c>
      <c r="U40" s="8">
        <f>IF($E40*'설정'!$C$5*IF(('설정'!$C$35*IF($A40&gt;=31,1+'설정'!$C$14*'설정'!$E$35,1)/$D40)&lt;1,('설정'!$C$35*IF($A40&gt;=31,1+'설정'!$C$14*'설정'!$E$35,1)/$D40)^(-'설정'!$C$6),('설정'!$C$35*IF($A40&gt;=31,1+'설정'!$C$14*'설정'!$E$35,1)/$D40)^(-'설정'!$C$7))&gt;('설정'!$C$4+'설정'!$F$35),"실패",ROUND($E40*'설정'!$C$5*IF(('설정'!$C$35*IF($A40&gt;=31,1+'설정'!$C$14*'설정'!$E$35,1)/$D40)&lt;1,('설정'!$C$35*IF($A40&gt;=31,1+'설정'!$C$14*'설정'!$E$35,1)/$D40)^(-'설정'!$C$6),('설정'!$C$35*IF($A40&gt;=31,1+'설정'!$C$14*'설정'!$E$35,1)/$D40)^(-'설정'!$C$7)),0))</f>
        <v/>
      </c>
      <c r="V40" s="8">
        <f>IF($E40*'설정'!$C$5*IF(('설정'!$C$36*IF($A40&gt;=31,1+'설정'!$C$14*'설정'!$E$36,1)/$D40)&lt;1,('설정'!$C$36*IF($A40&gt;=31,1+'설정'!$C$14*'설정'!$E$36,1)/$D40)^(-'설정'!$C$6),('설정'!$C$36*IF($A40&gt;=31,1+'설정'!$C$14*'설정'!$E$36,1)/$D40)^(-'설정'!$C$7))&gt;('설정'!$C$4+'설정'!$F$36),"실패",ROUND($E40*'설정'!$C$5*IF(('설정'!$C$36*IF($A40&gt;=31,1+'설정'!$C$14*'설정'!$E$36,1)/$D40)&lt;1,('설정'!$C$36*IF($A40&gt;=31,1+'설정'!$C$14*'설정'!$E$36,1)/$D40)^(-'설정'!$C$6),('설정'!$C$36*IF($A40&gt;=31,1+'설정'!$C$14*'설정'!$E$36,1)/$D40)^(-'설정'!$C$7)),0))</f>
        <v/>
      </c>
      <c r="W40" s="8">
        <f>IF($E40*'설정'!$C$5*IF(('설정'!$C$37*IF($A40&gt;=31,1+'설정'!$C$14*'설정'!$E$37,1)/$D40)&lt;1,('설정'!$C$37*IF($A40&gt;=31,1+'설정'!$C$14*'설정'!$E$37,1)/$D40)^(-'설정'!$C$6),('설정'!$C$37*IF($A40&gt;=31,1+'설정'!$C$14*'설정'!$E$37,1)/$D40)^(-'설정'!$C$7))&gt;('설정'!$C$4+'설정'!$F$37),"실패",ROUND($E40*'설정'!$C$5*IF(('설정'!$C$37*IF($A40&gt;=31,1+'설정'!$C$14*'설정'!$E$37,1)/$D40)&lt;1,('설정'!$C$37*IF($A40&gt;=31,1+'설정'!$C$14*'설정'!$E$37,1)/$D40)^(-'설정'!$C$6),('설정'!$C$37*IF($A40&gt;=31,1+'설정'!$C$14*'설정'!$E$37,1)/$D40)^(-'설정'!$C$7)),0))</f>
        <v/>
      </c>
    </row>
    <row r="41">
      <c r="A41" t="n">
        <v>39</v>
      </c>
      <c r="B41" t="inlineStr">
        <is>
          <t>어려움</t>
        </is>
      </c>
      <c r="C41" t="inlineStr"/>
      <c r="D41" s="6" t="n">
        <v>458000</v>
      </c>
      <c r="E41" t="n">
        <v>90</v>
      </c>
      <c r="F41" s="6" t="n">
        <v>9160</v>
      </c>
      <c r="G41" t="n">
        <v>35</v>
      </c>
      <c r="H41" s="8">
        <f>IF($E41*'설정'!$C$5*IF(('설정'!$C$22*IF($A41&gt;=31,1+'설정'!$C$14*'설정'!$E$22,1)/$D41)&lt;1,('설정'!$C$22*IF($A41&gt;=31,1+'설정'!$C$14*'설정'!$E$22,1)/$D41)^(-'설정'!$C$6),('설정'!$C$22*IF($A41&gt;=31,1+'설정'!$C$14*'설정'!$E$22,1)/$D41)^(-'설정'!$C$7))&gt;('설정'!$C$4+'설정'!$F$22),"실패",ROUND($E41*'설정'!$C$5*IF(('설정'!$C$22*IF($A41&gt;=31,1+'설정'!$C$14*'설정'!$E$22,1)/$D41)&lt;1,('설정'!$C$22*IF($A41&gt;=31,1+'설정'!$C$14*'설정'!$E$22,1)/$D41)^(-'설정'!$C$6),('설정'!$C$22*IF($A41&gt;=31,1+'설정'!$C$14*'설정'!$E$22,1)/$D41)^(-'설정'!$C$7)),0))</f>
        <v/>
      </c>
      <c r="I41" s="8">
        <f>IF($E41*'설정'!$C$5*IF(('설정'!$C$23*IF($A41&gt;=31,1+'설정'!$C$14*'설정'!$E$23,1)/$D41)&lt;1,('설정'!$C$23*IF($A41&gt;=31,1+'설정'!$C$14*'설정'!$E$23,1)/$D41)^(-'설정'!$C$6),('설정'!$C$23*IF($A41&gt;=31,1+'설정'!$C$14*'설정'!$E$23,1)/$D41)^(-'설정'!$C$7))&gt;('설정'!$C$4+'설정'!$F$23),"실패",ROUND($E41*'설정'!$C$5*IF(('설정'!$C$23*IF($A41&gt;=31,1+'설정'!$C$14*'설정'!$E$23,1)/$D41)&lt;1,('설정'!$C$23*IF($A41&gt;=31,1+'설정'!$C$14*'설정'!$E$23,1)/$D41)^(-'설정'!$C$6),('설정'!$C$23*IF($A41&gt;=31,1+'설정'!$C$14*'설정'!$E$23,1)/$D41)^(-'설정'!$C$7)),0))</f>
        <v/>
      </c>
      <c r="J41" s="8">
        <f>IF($E41*'설정'!$C$5*IF(('설정'!$C$24*IF($A41&gt;=31,1+'설정'!$C$14*'설정'!$E$24,1)/$D41)&lt;1,('설정'!$C$24*IF($A41&gt;=31,1+'설정'!$C$14*'설정'!$E$24,1)/$D41)^(-'설정'!$C$6),('설정'!$C$24*IF($A41&gt;=31,1+'설정'!$C$14*'설정'!$E$24,1)/$D41)^(-'설정'!$C$7))&gt;('설정'!$C$4+'설정'!$F$24),"실패",ROUND($E41*'설정'!$C$5*IF(('설정'!$C$24*IF($A41&gt;=31,1+'설정'!$C$14*'설정'!$E$24,1)/$D41)&lt;1,('설정'!$C$24*IF($A41&gt;=31,1+'설정'!$C$14*'설정'!$E$24,1)/$D41)^(-'설정'!$C$6),('설정'!$C$24*IF($A41&gt;=31,1+'설정'!$C$14*'설정'!$E$24,1)/$D41)^(-'설정'!$C$7)),0))</f>
        <v/>
      </c>
      <c r="K41" s="8">
        <f>IF($E41*'설정'!$C$5*IF(('설정'!$C$25*IF($A41&gt;=31,1+'설정'!$C$14*'설정'!$E$25,1)/$D41)&lt;1,('설정'!$C$25*IF($A41&gt;=31,1+'설정'!$C$14*'설정'!$E$25,1)/$D41)^(-'설정'!$C$6),('설정'!$C$25*IF($A41&gt;=31,1+'설정'!$C$14*'설정'!$E$25,1)/$D41)^(-'설정'!$C$7))&gt;('설정'!$C$4+'설정'!$F$25),"실패",ROUND($E41*'설정'!$C$5*IF(('설정'!$C$25*IF($A41&gt;=31,1+'설정'!$C$14*'설정'!$E$25,1)/$D41)&lt;1,('설정'!$C$25*IF($A41&gt;=31,1+'설정'!$C$14*'설정'!$E$25,1)/$D41)^(-'설정'!$C$6),('설정'!$C$25*IF($A41&gt;=31,1+'설정'!$C$14*'설정'!$E$25,1)/$D41)^(-'설정'!$C$7)),0))</f>
        <v/>
      </c>
      <c r="L41" s="8">
        <f>IF($E41*'설정'!$C$5*IF(('설정'!$C$26*IF($A41&gt;=31,1+'설정'!$C$14*'설정'!$E$26,1)/$D41)&lt;1,('설정'!$C$26*IF($A41&gt;=31,1+'설정'!$C$14*'설정'!$E$26,1)/$D41)^(-'설정'!$C$6),('설정'!$C$26*IF($A41&gt;=31,1+'설정'!$C$14*'설정'!$E$26,1)/$D41)^(-'설정'!$C$7))&gt;('설정'!$C$4+'설정'!$F$26),"실패",ROUND($E41*'설정'!$C$5*IF(('설정'!$C$26*IF($A41&gt;=31,1+'설정'!$C$14*'설정'!$E$26,1)/$D41)&lt;1,('설정'!$C$26*IF($A41&gt;=31,1+'설정'!$C$14*'설정'!$E$26,1)/$D41)^(-'설정'!$C$6),('설정'!$C$26*IF($A41&gt;=31,1+'설정'!$C$14*'설정'!$E$26,1)/$D41)^(-'설정'!$C$7)),0))</f>
        <v/>
      </c>
      <c r="M41" s="8">
        <f>IF($E41*'설정'!$C$5*IF(('설정'!$C$27*IF($A41&gt;=31,1+'설정'!$C$14*'설정'!$E$27,1)/$D41)&lt;1,('설정'!$C$27*IF($A41&gt;=31,1+'설정'!$C$14*'설정'!$E$27,1)/$D41)^(-'설정'!$C$6),('설정'!$C$27*IF($A41&gt;=31,1+'설정'!$C$14*'설정'!$E$27,1)/$D41)^(-'설정'!$C$7))&gt;('설정'!$C$4+'설정'!$F$27),"실패",ROUND($E41*'설정'!$C$5*IF(('설정'!$C$27*IF($A41&gt;=31,1+'설정'!$C$14*'설정'!$E$27,1)/$D41)&lt;1,('설정'!$C$27*IF($A41&gt;=31,1+'설정'!$C$14*'설정'!$E$27,1)/$D41)^(-'설정'!$C$6),('설정'!$C$27*IF($A41&gt;=31,1+'설정'!$C$14*'설정'!$E$27,1)/$D41)^(-'설정'!$C$7)),0))</f>
        <v/>
      </c>
      <c r="N41" s="8">
        <f>IF($E41*'설정'!$C$5*IF(('설정'!$C$28*IF($A41&gt;=31,1+'설정'!$C$14*'설정'!$E$28,1)/$D41)&lt;1,('설정'!$C$28*IF($A41&gt;=31,1+'설정'!$C$14*'설정'!$E$28,1)/$D41)^(-'설정'!$C$6),('설정'!$C$28*IF($A41&gt;=31,1+'설정'!$C$14*'설정'!$E$28,1)/$D41)^(-'설정'!$C$7))&gt;('설정'!$C$4+'설정'!$F$28),"실패",ROUND($E41*'설정'!$C$5*IF(('설정'!$C$28*IF($A41&gt;=31,1+'설정'!$C$14*'설정'!$E$28,1)/$D41)&lt;1,('설정'!$C$28*IF($A41&gt;=31,1+'설정'!$C$14*'설정'!$E$28,1)/$D41)^(-'설정'!$C$6),('설정'!$C$28*IF($A41&gt;=31,1+'설정'!$C$14*'설정'!$E$28,1)/$D41)^(-'설정'!$C$7)),0))</f>
        <v/>
      </c>
      <c r="O41" s="8">
        <f>IF($E41*'설정'!$C$5*IF(('설정'!$C$29*IF($A41&gt;=31,1+'설정'!$C$14*'설정'!$E$29,1)/$D41)&lt;1,('설정'!$C$29*IF($A41&gt;=31,1+'설정'!$C$14*'설정'!$E$29,1)/$D41)^(-'설정'!$C$6),('설정'!$C$29*IF($A41&gt;=31,1+'설정'!$C$14*'설정'!$E$29,1)/$D41)^(-'설정'!$C$7))&gt;('설정'!$C$4+'설정'!$F$29),"실패",ROUND($E41*'설정'!$C$5*IF(('설정'!$C$29*IF($A41&gt;=31,1+'설정'!$C$14*'설정'!$E$29,1)/$D41)&lt;1,('설정'!$C$29*IF($A41&gt;=31,1+'설정'!$C$14*'설정'!$E$29,1)/$D41)^(-'설정'!$C$6),('설정'!$C$29*IF($A41&gt;=31,1+'설정'!$C$14*'설정'!$E$29,1)/$D41)^(-'설정'!$C$7)),0))</f>
        <v/>
      </c>
      <c r="P41" s="8">
        <f>IF($E41*'설정'!$C$5*IF(('설정'!$C$30*IF($A41&gt;=31,1+'설정'!$C$14*'설정'!$E$30,1)/$D41)&lt;1,('설정'!$C$30*IF($A41&gt;=31,1+'설정'!$C$14*'설정'!$E$30,1)/$D41)^(-'설정'!$C$6),('설정'!$C$30*IF($A41&gt;=31,1+'설정'!$C$14*'설정'!$E$30,1)/$D41)^(-'설정'!$C$7))&gt;('설정'!$C$4+'설정'!$F$30),"실패",ROUND($E41*'설정'!$C$5*IF(('설정'!$C$30*IF($A41&gt;=31,1+'설정'!$C$14*'설정'!$E$30,1)/$D41)&lt;1,('설정'!$C$30*IF($A41&gt;=31,1+'설정'!$C$14*'설정'!$E$30,1)/$D41)^(-'설정'!$C$6),('설정'!$C$30*IF($A41&gt;=31,1+'설정'!$C$14*'설정'!$E$30,1)/$D41)^(-'설정'!$C$7)),0))</f>
        <v/>
      </c>
      <c r="Q41" s="8">
        <f>IF($E41*'설정'!$C$5*IF(('설정'!$C$31*IF($A41&gt;=31,1+'설정'!$C$14*'설정'!$E$31,1)/$D41)&lt;1,('설정'!$C$31*IF($A41&gt;=31,1+'설정'!$C$14*'설정'!$E$31,1)/$D41)^(-'설정'!$C$6),('설정'!$C$31*IF($A41&gt;=31,1+'설정'!$C$14*'설정'!$E$31,1)/$D41)^(-'설정'!$C$7))&gt;('설정'!$C$4+'설정'!$F$31),"실패",ROUND($E41*'설정'!$C$5*IF(('설정'!$C$31*IF($A41&gt;=31,1+'설정'!$C$14*'설정'!$E$31,1)/$D41)&lt;1,('설정'!$C$31*IF($A41&gt;=31,1+'설정'!$C$14*'설정'!$E$31,1)/$D41)^(-'설정'!$C$6),('설정'!$C$31*IF($A41&gt;=31,1+'설정'!$C$14*'설정'!$E$31,1)/$D41)^(-'설정'!$C$7)),0))</f>
        <v/>
      </c>
      <c r="R41" s="8">
        <f>IF($E41*'설정'!$C$5*IF(('설정'!$C$32*IF($A41&gt;=31,1+'설정'!$C$14*'설정'!$E$32,1)/$D41)&lt;1,('설정'!$C$32*IF($A41&gt;=31,1+'설정'!$C$14*'설정'!$E$32,1)/$D41)^(-'설정'!$C$6),('설정'!$C$32*IF($A41&gt;=31,1+'설정'!$C$14*'설정'!$E$32,1)/$D41)^(-'설정'!$C$7))&gt;('설정'!$C$4+'설정'!$F$32),"실패",ROUND($E41*'설정'!$C$5*IF(('설정'!$C$32*IF($A41&gt;=31,1+'설정'!$C$14*'설정'!$E$32,1)/$D41)&lt;1,('설정'!$C$32*IF($A41&gt;=31,1+'설정'!$C$14*'설정'!$E$32,1)/$D41)^(-'설정'!$C$6),('설정'!$C$32*IF($A41&gt;=31,1+'설정'!$C$14*'설정'!$E$32,1)/$D41)^(-'설정'!$C$7)),0))</f>
        <v/>
      </c>
      <c r="S41" s="8">
        <f>IF($E41*'설정'!$C$5*IF(('설정'!$C$33*IF($A41&gt;=31,1+'설정'!$C$14*'설정'!$E$33,1)/$D41)&lt;1,('설정'!$C$33*IF($A41&gt;=31,1+'설정'!$C$14*'설정'!$E$33,1)/$D41)^(-'설정'!$C$6),('설정'!$C$33*IF($A41&gt;=31,1+'설정'!$C$14*'설정'!$E$33,1)/$D41)^(-'설정'!$C$7))&gt;('설정'!$C$4+'설정'!$F$33),"실패",ROUND($E41*'설정'!$C$5*IF(('설정'!$C$33*IF($A41&gt;=31,1+'설정'!$C$14*'설정'!$E$33,1)/$D41)&lt;1,('설정'!$C$33*IF($A41&gt;=31,1+'설정'!$C$14*'설정'!$E$33,1)/$D41)^(-'설정'!$C$6),('설정'!$C$33*IF($A41&gt;=31,1+'설정'!$C$14*'설정'!$E$33,1)/$D41)^(-'설정'!$C$7)),0))</f>
        <v/>
      </c>
      <c r="T41" s="8">
        <f>IF($E41*'설정'!$C$5*IF(('설정'!$C$34*IF($A41&gt;=31,1+'설정'!$C$14*'설정'!$E$34,1)/$D41)&lt;1,('설정'!$C$34*IF($A41&gt;=31,1+'설정'!$C$14*'설정'!$E$34,1)/$D41)^(-'설정'!$C$6),('설정'!$C$34*IF($A41&gt;=31,1+'설정'!$C$14*'설정'!$E$34,1)/$D41)^(-'설정'!$C$7))&gt;('설정'!$C$4+'설정'!$F$34),"실패",ROUND($E41*'설정'!$C$5*IF(('설정'!$C$34*IF($A41&gt;=31,1+'설정'!$C$14*'설정'!$E$34,1)/$D41)&lt;1,('설정'!$C$34*IF($A41&gt;=31,1+'설정'!$C$14*'설정'!$E$34,1)/$D41)^(-'설정'!$C$6),('설정'!$C$34*IF($A41&gt;=31,1+'설정'!$C$14*'설정'!$E$34,1)/$D41)^(-'설정'!$C$7)),0))</f>
        <v/>
      </c>
      <c r="U41" s="8">
        <f>IF($E41*'설정'!$C$5*IF(('설정'!$C$35*IF($A41&gt;=31,1+'설정'!$C$14*'설정'!$E$35,1)/$D41)&lt;1,('설정'!$C$35*IF($A41&gt;=31,1+'설정'!$C$14*'설정'!$E$35,1)/$D41)^(-'설정'!$C$6),('설정'!$C$35*IF($A41&gt;=31,1+'설정'!$C$14*'설정'!$E$35,1)/$D41)^(-'설정'!$C$7))&gt;('설정'!$C$4+'설정'!$F$35),"실패",ROUND($E41*'설정'!$C$5*IF(('설정'!$C$35*IF($A41&gt;=31,1+'설정'!$C$14*'설정'!$E$35,1)/$D41)&lt;1,('설정'!$C$35*IF($A41&gt;=31,1+'설정'!$C$14*'설정'!$E$35,1)/$D41)^(-'설정'!$C$6),('설정'!$C$35*IF($A41&gt;=31,1+'설정'!$C$14*'설정'!$E$35,1)/$D41)^(-'설정'!$C$7)),0))</f>
        <v/>
      </c>
      <c r="V41" s="8">
        <f>IF($E41*'설정'!$C$5*IF(('설정'!$C$36*IF($A41&gt;=31,1+'설정'!$C$14*'설정'!$E$36,1)/$D41)&lt;1,('설정'!$C$36*IF($A41&gt;=31,1+'설정'!$C$14*'설정'!$E$36,1)/$D41)^(-'설정'!$C$6),('설정'!$C$36*IF($A41&gt;=31,1+'설정'!$C$14*'설정'!$E$36,1)/$D41)^(-'설정'!$C$7))&gt;('설정'!$C$4+'설정'!$F$36),"실패",ROUND($E41*'설정'!$C$5*IF(('설정'!$C$36*IF($A41&gt;=31,1+'설정'!$C$14*'설정'!$E$36,1)/$D41)&lt;1,('설정'!$C$36*IF($A41&gt;=31,1+'설정'!$C$14*'설정'!$E$36,1)/$D41)^(-'설정'!$C$6),('설정'!$C$36*IF($A41&gt;=31,1+'설정'!$C$14*'설정'!$E$36,1)/$D41)^(-'설정'!$C$7)),0))</f>
        <v/>
      </c>
      <c r="W41" s="8">
        <f>IF($E41*'설정'!$C$5*IF(('설정'!$C$37*IF($A41&gt;=31,1+'설정'!$C$14*'설정'!$E$37,1)/$D41)&lt;1,('설정'!$C$37*IF($A41&gt;=31,1+'설정'!$C$14*'설정'!$E$37,1)/$D41)^(-'설정'!$C$6),('설정'!$C$37*IF($A41&gt;=31,1+'설정'!$C$14*'설정'!$E$37,1)/$D41)^(-'설정'!$C$7))&gt;('설정'!$C$4+'설정'!$F$37),"실패",ROUND($E41*'설정'!$C$5*IF(('설정'!$C$37*IF($A41&gt;=31,1+'설정'!$C$14*'설정'!$E$37,1)/$D41)&lt;1,('설정'!$C$37*IF($A41&gt;=31,1+'설정'!$C$14*'설정'!$E$37,1)/$D41)^(-'설정'!$C$6),('설정'!$C$37*IF($A41&gt;=31,1+'설정'!$C$14*'설정'!$E$37,1)/$D41)^(-'설정'!$C$7)),0))</f>
        <v/>
      </c>
    </row>
    <row r="42">
      <c r="A42" s="4" t="n">
        <v>40</v>
      </c>
      <c r="B42" s="4" t="inlineStr">
        <is>
          <t>허들</t>
        </is>
      </c>
      <c r="C42" s="4" t="inlineStr">
        <is>
          <t>보스</t>
        </is>
      </c>
      <c r="D42" s="9" t="n">
        <v>784000</v>
      </c>
      <c r="E42" s="4" t="n">
        <v>149.1</v>
      </c>
      <c r="F42" s="9" t="n">
        <v>15700</v>
      </c>
      <c r="G42" s="4" t="n">
        <v>41</v>
      </c>
      <c r="H42" s="8">
        <f>IF($E42*'설정'!$C$5*IF(('설정'!$C$22*IF($A42&gt;=31,1+'설정'!$C$14*'설정'!$E$22,1)/$D42)&lt;1,('설정'!$C$22*IF($A42&gt;=31,1+'설정'!$C$14*'설정'!$E$22,1)/$D42)^(-'설정'!$C$6),('설정'!$C$22*IF($A42&gt;=31,1+'설정'!$C$14*'설정'!$E$22,1)/$D42)^(-'설정'!$C$7))&gt;('설정'!$C$4+'설정'!$F$22+'설정'!$G$22),"실패",ROUND($E42*'설정'!$C$5*IF(('설정'!$C$22*IF($A42&gt;=31,1+'설정'!$C$14*'설정'!$E$22,1)/$D42)&lt;1,('설정'!$C$22*IF($A42&gt;=31,1+'설정'!$C$14*'설정'!$E$22,1)/$D42)^(-'설정'!$C$6),('설정'!$C$22*IF($A42&gt;=31,1+'설정'!$C$14*'설정'!$E$22,1)/$D42)^(-'설정'!$C$7)),0))</f>
        <v/>
      </c>
      <c r="I42" s="8">
        <f>IF($E42*'설정'!$C$5*IF(('설정'!$C$23*IF($A42&gt;=31,1+'설정'!$C$14*'설정'!$E$23,1)/$D42)&lt;1,('설정'!$C$23*IF($A42&gt;=31,1+'설정'!$C$14*'설정'!$E$23,1)/$D42)^(-'설정'!$C$6),('설정'!$C$23*IF($A42&gt;=31,1+'설정'!$C$14*'설정'!$E$23,1)/$D42)^(-'설정'!$C$7))&gt;('설정'!$C$4+'설정'!$F$23+'설정'!$G$23),"실패",ROUND($E42*'설정'!$C$5*IF(('설정'!$C$23*IF($A42&gt;=31,1+'설정'!$C$14*'설정'!$E$23,1)/$D42)&lt;1,('설정'!$C$23*IF($A42&gt;=31,1+'설정'!$C$14*'설정'!$E$23,1)/$D42)^(-'설정'!$C$6),('설정'!$C$23*IF($A42&gt;=31,1+'설정'!$C$14*'설정'!$E$23,1)/$D42)^(-'설정'!$C$7)),0))</f>
        <v/>
      </c>
      <c r="J42" s="8">
        <f>IF($E42*'설정'!$C$5*IF(('설정'!$C$24*IF($A42&gt;=31,1+'설정'!$C$14*'설정'!$E$24,1)/$D42)&lt;1,('설정'!$C$24*IF($A42&gt;=31,1+'설정'!$C$14*'설정'!$E$24,1)/$D42)^(-'설정'!$C$6),('설정'!$C$24*IF($A42&gt;=31,1+'설정'!$C$14*'설정'!$E$24,1)/$D42)^(-'설정'!$C$7))&gt;('설정'!$C$4+'설정'!$F$24+'설정'!$G$24),"실패",ROUND($E42*'설정'!$C$5*IF(('설정'!$C$24*IF($A42&gt;=31,1+'설정'!$C$14*'설정'!$E$24,1)/$D42)&lt;1,('설정'!$C$24*IF($A42&gt;=31,1+'설정'!$C$14*'설정'!$E$24,1)/$D42)^(-'설정'!$C$6),('설정'!$C$24*IF($A42&gt;=31,1+'설정'!$C$14*'설정'!$E$24,1)/$D42)^(-'설정'!$C$7)),0))</f>
        <v/>
      </c>
      <c r="K42" s="8">
        <f>IF($E42*'설정'!$C$5*IF(('설정'!$C$25*IF($A42&gt;=31,1+'설정'!$C$14*'설정'!$E$25,1)/$D42)&lt;1,('설정'!$C$25*IF($A42&gt;=31,1+'설정'!$C$14*'설정'!$E$25,1)/$D42)^(-'설정'!$C$6),('설정'!$C$25*IF($A42&gt;=31,1+'설정'!$C$14*'설정'!$E$25,1)/$D42)^(-'설정'!$C$7))&gt;('설정'!$C$4+'설정'!$F$25+'설정'!$G$25),"실패",ROUND($E42*'설정'!$C$5*IF(('설정'!$C$25*IF($A42&gt;=31,1+'설정'!$C$14*'설정'!$E$25,1)/$D42)&lt;1,('설정'!$C$25*IF($A42&gt;=31,1+'설정'!$C$14*'설정'!$E$25,1)/$D42)^(-'설정'!$C$6),('설정'!$C$25*IF($A42&gt;=31,1+'설정'!$C$14*'설정'!$E$25,1)/$D42)^(-'설정'!$C$7)),0))</f>
        <v/>
      </c>
      <c r="L42" s="8">
        <f>IF($E42*'설정'!$C$5*IF(('설정'!$C$26*IF($A42&gt;=31,1+'설정'!$C$14*'설정'!$E$26,1)/$D42)&lt;1,('설정'!$C$26*IF($A42&gt;=31,1+'설정'!$C$14*'설정'!$E$26,1)/$D42)^(-'설정'!$C$6),('설정'!$C$26*IF($A42&gt;=31,1+'설정'!$C$14*'설정'!$E$26,1)/$D42)^(-'설정'!$C$7))&gt;('설정'!$C$4+'설정'!$F$26+'설정'!$G$26),"실패",ROUND($E42*'설정'!$C$5*IF(('설정'!$C$26*IF($A42&gt;=31,1+'설정'!$C$14*'설정'!$E$26,1)/$D42)&lt;1,('설정'!$C$26*IF($A42&gt;=31,1+'설정'!$C$14*'설정'!$E$26,1)/$D42)^(-'설정'!$C$6),('설정'!$C$26*IF($A42&gt;=31,1+'설정'!$C$14*'설정'!$E$26,1)/$D42)^(-'설정'!$C$7)),0))</f>
        <v/>
      </c>
      <c r="M42" s="8">
        <f>IF($E42*'설정'!$C$5*IF(('설정'!$C$27*IF($A42&gt;=31,1+'설정'!$C$14*'설정'!$E$27,1)/$D42)&lt;1,('설정'!$C$27*IF($A42&gt;=31,1+'설정'!$C$14*'설정'!$E$27,1)/$D42)^(-'설정'!$C$6),('설정'!$C$27*IF($A42&gt;=31,1+'설정'!$C$14*'설정'!$E$27,1)/$D42)^(-'설정'!$C$7))&gt;('설정'!$C$4+'설정'!$F$27+'설정'!$G$27),"실패",ROUND($E42*'설정'!$C$5*IF(('설정'!$C$27*IF($A42&gt;=31,1+'설정'!$C$14*'설정'!$E$27,1)/$D42)&lt;1,('설정'!$C$27*IF($A42&gt;=31,1+'설정'!$C$14*'설정'!$E$27,1)/$D42)^(-'설정'!$C$6),('설정'!$C$27*IF($A42&gt;=31,1+'설정'!$C$14*'설정'!$E$27,1)/$D42)^(-'설정'!$C$7)),0))</f>
        <v/>
      </c>
      <c r="N42" s="8">
        <f>IF($E42*'설정'!$C$5*IF(('설정'!$C$28*IF($A42&gt;=31,1+'설정'!$C$14*'설정'!$E$28,1)/$D42)&lt;1,('설정'!$C$28*IF($A42&gt;=31,1+'설정'!$C$14*'설정'!$E$28,1)/$D42)^(-'설정'!$C$6),('설정'!$C$28*IF($A42&gt;=31,1+'설정'!$C$14*'설정'!$E$28,1)/$D42)^(-'설정'!$C$7))&gt;('설정'!$C$4+'설정'!$F$28+'설정'!$G$28),"실패",ROUND($E42*'설정'!$C$5*IF(('설정'!$C$28*IF($A42&gt;=31,1+'설정'!$C$14*'설정'!$E$28,1)/$D42)&lt;1,('설정'!$C$28*IF($A42&gt;=31,1+'설정'!$C$14*'설정'!$E$28,1)/$D42)^(-'설정'!$C$6),('설정'!$C$28*IF($A42&gt;=31,1+'설정'!$C$14*'설정'!$E$28,1)/$D42)^(-'설정'!$C$7)),0))</f>
        <v/>
      </c>
      <c r="O42" s="8">
        <f>IF($E42*'설정'!$C$5*IF(('설정'!$C$29*IF($A42&gt;=31,1+'설정'!$C$14*'설정'!$E$29,1)/$D42)&lt;1,('설정'!$C$29*IF($A42&gt;=31,1+'설정'!$C$14*'설정'!$E$29,1)/$D42)^(-'설정'!$C$6),('설정'!$C$29*IF($A42&gt;=31,1+'설정'!$C$14*'설정'!$E$29,1)/$D42)^(-'설정'!$C$7))&gt;('설정'!$C$4+'설정'!$F$29+'설정'!$G$29),"실패",ROUND($E42*'설정'!$C$5*IF(('설정'!$C$29*IF($A42&gt;=31,1+'설정'!$C$14*'설정'!$E$29,1)/$D42)&lt;1,('설정'!$C$29*IF($A42&gt;=31,1+'설정'!$C$14*'설정'!$E$29,1)/$D42)^(-'설정'!$C$6),('설정'!$C$29*IF($A42&gt;=31,1+'설정'!$C$14*'설정'!$E$29,1)/$D42)^(-'설정'!$C$7)),0))</f>
        <v/>
      </c>
      <c r="P42" s="8">
        <f>IF($E42*'설정'!$C$5*IF(('설정'!$C$30*IF($A42&gt;=31,1+'설정'!$C$14*'설정'!$E$30,1)/$D42)&lt;1,('설정'!$C$30*IF($A42&gt;=31,1+'설정'!$C$14*'설정'!$E$30,1)/$D42)^(-'설정'!$C$6),('설정'!$C$30*IF($A42&gt;=31,1+'설정'!$C$14*'설정'!$E$30,1)/$D42)^(-'설정'!$C$7))&gt;('설정'!$C$4+'설정'!$F$30+'설정'!$G$30),"실패",ROUND($E42*'설정'!$C$5*IF(('설정'!$C$30*IF($A42&gt;=31,1+'설정'!$C$14*'설정'!$E$30,1)/$D42)&lt;1,('설정'!$C$30*IF($A42&gt;=31,1+'설정'!$C$14*'설정'!$E$30,1)/$D42)^(-'설정'!$C$6),('설정'!$C$30*IF($A42&gt;=31,1+'설정'!$C$14*'설정'!$E$30,1)/$D42)^(-'설정'!$C$7)),0))</f>
        <v/>
      </c>
      <c r="Q42" s="8">
        <f>IF($E42*'설정'!$C$5*IF(('설정'!$C$31*IF($A42&gt;=31,1+'설정'!$C$14*'설정'!$E$31,1)/$D42)&lt;1,('설정'!$C$31*IF($A42&gt;=31,1+'설정'!$C$14*'설정'!$E$31,1)/$D42)^(-'설정'!$C$6),('설정'!$C$31*IF($A42&gt;=31,1+'설정'!$C$14*'설정'!$E$31,1)/$D42)^(-'설정'!$C$7))&gt;('설정'!$C$4+'설정'!$F$31+'설정'!$G$31),"실패",ROUND($E42*'설정'!$C$5*IF(('설정'!$C$31*IF($A42&gt;=31,1+'설정'!$C$14*'설정'!$E$31,1)/$D42)&lt;1,('설정'!$C$31*IF($A42&gt;=31,1+'설정'!$C$14*'설정'!$E$31,1)/$D42)^(-'설정'!$C$6),('설정'!$C$31*IF($A42&gt;=31,1+'설정'!$C$14*'설정'!$E$31,1)/$D42)^(-'설정'!$C$7)),0))</f>
        <v/>
      </c>
      <c r="R42" s="8">
        <f>IF($E42*'설정'!$C$5*IF(('설정'!$C$32*IF($A42&gt;=31,1+'설정'!$C$14*'설정'!$E$32,1)/$D42)&lt;1,('설정'!$C$32*IF($A42&gt;=31,1+'설정'!$C$14*'설정'!$E$32,1)/$D42)^(-'설정'!$C$6),('설정'!$C$32*IF($A42&gt;=31,1+'설정'!$C$14*'설정'!$E$32,1)/$D42)^(-'설정'!$C$7))&gt;('설정'!$C$4+'설정'!$F$32+'설정'!$G$32),"실패",ROUND($E42*'설정'!$C$5*IF(('설정'!$C$32*IF($A42&gt;=31,1+'설정'!$C$14*'설정'!$E$32,1)/$D42)&lt;1,('설정'!$C$32*IF($A42&gt;=31,1+'설정'!$C$14*'설정'!$E$32,1)/$D42)^(-'설정'!$C$6),('설정'!$C$32*IF($A42&gt;=31,1+'설정'!$C$14*'설정'!$E$32,1)/$D42)^(-'설정'!$C$7)),0))</f>
        <v/>
      </c>
      <c r="S42" s="8">
        <f>IF($E42*'설정'!$C$5*IF(('설정'!$C$33*IF($A42&gt;=31,1+'설정'!$C$14*'설정'!$E$33,1)/$D42)&lt;1,('설정'!$C$33*IF($A42&gt;=31,1+'설정'!$C$14*'설정'!$E$33,1)/$D42)^(-'설정'!$C$6),('설정'!$C$33*IF($A42&gt;=31,1+'설정'!$C$14*'설정'!$E$33,1)/$D42)^(-'설정'!$C$7))&gt;('설정'!$C$4+'설정'!$F$33+'설정'!$G$33),"실패",ROUND($E42*'설정'!$C$5*IF(('설정'!$C$33*IF($A42&gt;=31,1+'설정'!$C$14*'설정'!$E$33,1)/$D42)&lt;1,('설정'!$C$33*IF($A42&gt;=31,1+'설정'!$C$14*'설정'!$E$33,1)/$D42)^(-'설정'!$C$6),('설정'!$C$33*IF($A42&gt;=31,1+'설정'!$C$14*'설정'!$E$33,1)/$D42)^(-'설정'!$C$7)),0))</f>
        <v/>
      </c>
      <c r="T42" s="8">
        <f>IF($E42*'설정'!$C$5*IF(('설정'!$C$34*IF($A42&gt;=31,1+'설정'!$C$14*'설정'!$E$34,1)/$D42)&lt;1,('설정'!$C$34*IF($A42&gt;=31,1+'설정'!$C$14*'설정'!$E$34,1)/$D42)^(-'설정'!$C$6),('설정'!$C$34*IF($A42&gt;=31,1+'설정'!$C$14*'설정'!$E$34,1)/$D42)^(-'설정'!$C$7))&gt;('설정'!$C$4+'설정'!$F$34+'설정'!$G$34),"실패",ROUND($E42*'설정'!$C$5*IF(('설정'!$C$34*IF($A42&gt;=31,1+'설정'!$C$14*'설정'!$E$34,1)/$D42)&lt;1,('설정'!$C$34*IF($A42&gt;=31,1+'설정'!$C$14*'설정'!$E$34,1)/$D42)^(-'설정'!$C$6),('설정'!$C$34*IF($A42&gt;=31,1+'설정'!$C$14*'설정'!$E$34,1)/$D42)^(-'설정'!$C$7)),0))</f>
        <v/>
      </c>
      <c r="U42" s="8">
        <f>IF($E42*'설정'!$C$5*IF(('설정'!$C$35*IF($A42&gt;=31,1+'설정'!$C$14*'설정'!$E$35,1)/$D42)&lt;1,('설정'!$C$35*IF($A42&gt;=31,1+'설정'!$C$14*'설정'!$E$35,1)/$D42)^(-'설정'!$C$6),('설정'!$C$35*IF($A42&gt;=31,1+'설정'!$C$14*'설정'!$E$35,1)/$D42)^(-'설정'!$C$7))&gt;('설정'!$C$4+'설정'!$F$35+'설정'!$G$35),"실패",ROUND($E42*'설정'!$C$5*IF(('설정'!$C$35*IF($A42&gt;=31,1+'설정'!$C$14*'설정'!$E$35,1)/$D42)&lt;1,('설정'!$C$35*IF($A42&gt;=31,1+'설정'!$C$14*'설정'!$E$35,1)/$D42)^(-'설정'!$C$6),('설정'!$C$35*IF($A42&gt;=31,1+'설정'!$C$14*'설정'!$E$35,1)/$D42)^(-'설정'!$C$7)),0))</f>
        <v/>
      </c>
      <c r="V42" s="8">
        <f>IF($E42*'설정'!$C$5*IF(('설정'!$C$36*IF($A42&gt;=31,1+'설정'!$C$14*'설정'!$E$36,1)/$D42)&lt;1,('설정'!$C$36*IF($A42&gt;=31,1+'설정'!$C$14*'설정'!$E$36,1)/$D42)^(-'설정'!$C$6),('설정'!$C$36*IF($A42&gt;=31,1+'설정'!$C$14*'설정'!$E$36,1)/$D42)^(-'설정'!$C$7))&gt;('설정'!$C$4+'설정'!$F$36+'설정'!$G$36),"실패",ROUND($E42*'설정'!$C$5*IF(('설정'!$C$36*IF($A42&gt;=31,1+'설정'!$C$14*'설정'!$E$36,1)/$D42)&lt;1,('설정'!$C$36*IF($A42&gt;=31,1+'설정'!$C$14*'설정'!$E$36,1)/$D42)^(-'설정'!$C$6),('설정'!$C$36*IF($A42&gt;=31,1+'설정'!$C$14*'설정'!$E$36,1)/$D42)^(-'설정'!$C$7)),0))</f>
        <v/>
      </c>
      <c r="W42" s="8">
        <f>IF($E42*'설정'!$C$5*IF(('설정'!$C$37*IF($A42&gt;=31,1+'설정'!$C$14*'설정'!$E$37,1)/$D42)&lt;1,('설정'!$C$37*IF($A42&gt;=31,1+'설정'!$C$14*'설정'!$E$37,1)/$D42)^(-'설정'!$C$6),('설정'!$C$37*IF($A42&gt;=31,1+'설정'!$C$14*'설정'!$E$37,1)/$D42)^(-'설정'!$C$7))&gt;('설정'!$C$4+'설정'!$F$37+'설정'!$G$37),"실패",ROUND($E42*'설정'!$C$5*IF(('설정'!$C$37*IF($A42&gt;=31,1+'설정'!$C$14*'설정'!$E$37,1)/$D42)&lt;1,('설정'!$C$37*IF($A42&gt;=31,1+'설정'!$C$14*'설정'!$E$37,1)/$D42)^(-'설정'!$C$6),('설정'!$C$37*IF($A42&gt;=31,1+'설정'!$C$14*'설정'!$E$37,1)/$D42)^(-'설정'!$C$7)),0))</f>
        <v/>
      </c>
    </row>
    <row r="43">
      <c r="A43" t="n">
        <v>41</v>
      </c>
      <c r="B43" t="inlineStr">
        <is>
          <t>쉬움</t>
        </is>
      </c>
      <c r="C43" t="inlineStr"/>
      <c r="D43" s="6" t="n">
        <v>562000</v>
      </c>
      <c r="E43" t="n">
        <v>72</v>
      </c>
      <c r="F43" s="6" t="n">
        <v>11200</v>
      </c>
      <c r="G43" t="n">
        <v>41</v>
      </c>
      <c r="H43" s="8">
        <f>IF($E43*'설정'!$C$5*IF(('설정'!$C$22*IF($A43&gt;=31,1+'설정'!$C$14*'설정'!$E$22,1)/$D43)&lt;1,('설정'!$C$22*IF($A43&gt;=31,1+'설정'!$C$14*'설정'!$E$22,1)/$D43)^(-'설정'!$C$6),('설정'!$C$22*IF($A43&gt;=31,1+'설정'!$C$14*'설정'!$E$22,1)/$D43)^(-'설정'!$C$7))&gt;('설정'!$C$4+'설정'!$F$22),"실패",ROUND($E43*'설정'!$C$5*IF(('설정'!$C$22*IF($A43&gt;=31,1+'설정'!$C$14*'설정'!$E$22,1)/$D43)&lt;1,('설정'!$C$22*IF($A43&gt;=31,1+'설정'!$C$14*'설정'!$E$22,1)/$D43)^(-'설정'!$C$6),('설정'!$C$22*IF($A43&gt;=31,1+'설정'!$C$14*'설정'!$E$22,1)/$D43)^(-'설정'!$C$7)),0))</f>
        <v/>
      </c>
      <c r="I43" s="8">
        <f>IF($E43*'설정'!$C$5*IF(('설정'!$C$23*IF($A43&gt;=31,1+'설정'!$C$14*'설정'!$E$23,1)/$D43)&lt;1,('설정'!$C$23*IF($A43&gt;=31,1+'설정'!$C$14*'설정'!$E$23,1)/$D43)^(-'설정'!$C$6),('설정'!$C$23*IF($A43&gt;=31,1+'설정'!$C$14*'설정'!$E$23,1)/$D43)^(-'설정'!$C$7))&gt;('설정'!$C$4+'설정'!$F$23),"실패",ROUND($E43*'설정'!$C$5*IF(('설정'!$C$23*IF($A43&gt;=31,1+'설정'!$C$14*'설정'!$E$23,1)/$D43)&lt;1,('설정'!$C$23*IF($A43&gt;=31,1+'설정'!$C$14*'설정'!$E$23,1)/$D43)^(-'설정'!$C$6),('설정'!$C$23*IF($A43&gt;=31,1+'설정'!$C$14*'설정'!$E$23,1)/$D43)^(-'설정'!$C$7)),0))</f>
        <v/>
      </c>
      <c r="J43" s="8">
        <f>IF($E43*'설정'!$C$5*IF(('설정'!$C$24*IF($A43&gt;=31,1+'설정'!$C$14*'설정'!$E$24,1)/$D43)&lt;1,('설정'!$C$24*IF($A43&gt;=31,1+'설정'!$C$14*'설정'!$E$24,1)/$D43)^(-'설정'!$C$6),('설정'!$C$24*IF($A43&gt;=31,1+'설정'!$C$14*'설정'!$E$24,1)/$D43)^(-'설정'!$C$7))&gt;('설정'!$C$4+'설정'!$F$24),"실패",ROUND($E43*'설정'!$C$5*IF(('설정'!$C$24*IF($A43&gt;=31,1+'설정'!$C$14*'설정'!$E$24,1)/$D43)&lt;1,('설정'!$C$24*IF($A43&gt;=31,1+'설정'!$C$14*'설정'!$E$24,1)/$D43)^(-'설정'!$C$6),('설정'!$C$24*IF($A43&gt;=31,1+'설정'!$C$14*'설정'!$E$24,1)/$D43)^(-'설정'!$C$7)),0))</f>
        <v/>
      </c>
      <c r="K43" s="8">
        <f>IF($E43*'설정'!$C$5*IF(('설정'!$C$25*IF($A43&gt;=31,1+'설정'!$C$14*'설정'!$E$25,1)/$D43)&lt;1,('설정'!$C$25*IF($A43&gt;=31,1+'설정'!$C$14*'설정'!$E$25,1)/$D43)^(-'설정'!$C$6),('설정'!$C$25*IF($A43&gt;=31,1+'설정'!$C$14*'설정'!$E$25,1)/$D43)^(-'설정'!$C$7))&gt;('설정'!$C$4+'설정'!$F$25),"실패",ROUND($E43*'설정'!$C$5*IF(('설정'!$C$25*IF($A43&gt;=31,1+'설정'!$C$14*'설정'!$E$25,1)/$D43)&lt;1,('설정'!$C$25*IF($A43&gt;=31,1+'설정'!$C$14*'설정'!$E$25,1)/$D43)^(-'설정'!$C$6),('설정'!$C$25*IF($A43&gt;=31,1+'설정'!$C$14*'설정'!$E$25,1)/$D43)^(-'설정'!$C$7)),0))</f>
        <v/>
      </c>
      <c r="L43" s="8">
        <f>IF($E43*'설정'!$C$5*IF(('설정'!$C$26*IF($A43&gt;=31,1+'설정'!$C$14*'설정'!$E$26,1)/$D43)&lt;1,('설정'!$C$26*IF($A43&gt;=31,1+'설정'!$C$14*'설정'!$E$26,1)/$D43)^(-'설정'!$C$6),('설정'!$C$26*IF($A43&gt;=31,1+'설정'!$C$14*'설정'!$E$26,1)/$D43)^(-'설정'!$C$7))&gt;('설정'!$C$4+'설정'!$F$26),"실패",ROUND($E43*'설정'!$C$5*IF(('설정'!$C$26*IF($A43&gt;=31,1+'설정'!$C$14*'설정'!$E$26,1)/$D43)&lt;1,('설정'!$C$26*IF($A43&gt;=31,1+'설정'!$C$14*'설정'!$E$26,1)/$D43)^(-'설정'!$C$6),('설정'!$C$26*IF($A43&gt;=31,1+'설정'!$C$14*'설정'!$E$26,1)/$D43)^(-'설정'!$C$7)),0))</f>
        <v/>
      </c>
      <c r="M43" s="8">
        <f>IF($E43*'설정'!$C$5*IF(('설정'!$C$27*IF($A43&gt;=31,1+'설정'!$C$14*'설정'!$E$27,1)/$D43)&lt;1,('설정'!$C$27*IF($A43&gt;=31,1+'설정'!$C$14*'설정'!$E$27,1)/$D43)^(-'설정'!$C$6),('설정'!$C$27*IF($A43&gt;=31,1+'설정'!$C$14*'설정'!$E$27,1)/$D43)^(-'설정'!$C$7))&gt;('설정'!$C$4+'설정'!$F$27),"실패",ROUND($E43*'설정'!$C$5*IF(('설정'!$C$27*IF($A43&gt;=31,1+'설정'!$C$14*'설정'!$E$27,1)/$D43)&lt;1,('설정'!$C$27*IF($A43&gt;=31,1+'설정'!$C$14*'설정'!$E$27,1)/$D43)^(-'설정'!$C$6),('설정'!$C$27*IF($A43&gt;=31,1+'설정'!$C$14*'설정'!$E$27,1)/$D43)^(-'설정'!$C$7)),0))</f>
        <v/>
      </c>
      <c r="N43" s="8">
        <f>IF($E43*'설정'!$C$5*IF(('설정'!$C$28*IF($A43&gt;=31,1+'설정'!$C$14*'설정'!$E$28,1)/$D43)&lt;1,('설정'!$C$28*IF($A43&gt;=31,1+'설정'!$C$14*'설정'!$E$28,1)/$D43)^(-'설정'!$C$6),('설정'!$C$28*IF($A43&gt;=31,1+'설정'!$C$14*'설정'!$E$28,1)/$D43)^(-'설정'!$C$7))&gt;('설정'!$C$4+'설정'!$F$28),"실패",ROUND($E43*'설정'!$C$5*IF(('설정'!$C$28*IF($A43&gt;=31,1+'설정'!$C$14*'설정'!$E$28,1)/$D43)&lt;1,('설정'!$C$28*IF($A43&gt;=31,1+'설정'!$C$14*'설정'!$E$28,1)/$D43)^(-'설정'!$C$6),('설정'!$C$28*IF($A43&gt;=31,1+'설정'!$C$14*'설정'!$E$28,1)/$D43)^(-'설정'!$C$7)),0))</f>
        <v/>
      </c>
      <c r="O43" s="8">
        <f>IF($E43*'설정'!$C$5*IF(('설정'!$C$29*IF($A43&gt;=31,1+'설정'!$C$14*'설정'!$E$29,1)/$D43)&lt;1,('설정'!$C$29*IF($A43&gt;=31,1+'설정'!$C$14*'설정'!$E$29,1)/$D43)^(-'설정'!$C$6),('설정'!$C$29*IF($A43&gt;=31,1+'설정'!$C$14*'설정'!$E$29,1)/$D43)^(-'설정'!$C$7))&gt;('설정'!$C$4+'설정'!$F$29),"실패",ROUND($E43*'설정'!$C$5*IF(('설정'!$C$29*IF($A43&gt;=31,1+'설정'!$C$14*'설정'!$E$29,1)/$D43)&lt;1,('설정'!$C$29*IF($A43&gt;=31,1+'설정'!$C$14*'설정'!$E$29,1)/$D43)^(-'설정'!$C$6),('설정'!$C$29*IF($A43&gt;=31,1+'설정'!$C$14*'설정'!$E$29,1)/$D43)^(-'설정'!$C$7)),0))</f>
        <v/>
      </c>
      <c r="P43" s="8">
        <f>IF($E43*'설정'!$C$5*IF(('설정'!$C$30*IF($A43&gt;=31,1+'설정'!$C$14*'설정'!$E$30,1)/$D43)&lt;1,('설정'!$C$30*IF($A43&gt;=31,1+'설정'!$C$14*'설정'!$E$30,1)/$D43)^(-'설정'!$C$6),('설정'!$C$30*IF($A43&gt;=31,1+'설정'!$C$14*'설정'!$E$30,1)/$D43)^(-'설정'!$C$7))&gt;('설정'!$C$4+'설정'!$F$30),"실패",ROUND($E43*'설정'!$C$5*IF(('설정'!$C$30*IF($A43&gt;=31,1+'설정'!$C$14*'설정'!$E$30,1)/$D43)&lt;1,('설정'!$C$30*IF($A43&gt;=31,1+'설정'!$C$14*'설정'!$E$30,1)/$D43)^(-'설정'!$C$6),('설정'!$C$30*IF($A43&gt;=31,1+'설정'!$C$14*'설정'!$E$30,1)/$D43)^(-'설정'!$C$7)),0))</f>
        <v/>
      </c>
      <c r="Q43" s="8">
        <f>IF($E43*'설정'!$C$5*IF(('설정'!$C$31*IF($A43&gt;=31,1+'설정'!$C$14*'설정'!$E$31,1)/$D43)&lt;1,('설정'!$C$31*IF($A43&gt;=31,1+'설정'!$C$14*'설정'!$E$31,1)/$D43)^(-'설정'!$C$6),('설정'!$C$31*IF($A43&gt;=31,1+'설정'!$C$14*'설정'!$E$31,1)/$D43)^(-'설정'!$C$7))&gt;('설정'!$C$4+'설정'!$F$31),"실패",ROUND($E43*'설정'!$C$5*IF(('설정'!$C$31*IF($A43&gt;=31,1+'설정'!$C$14*'설정'!$E$31,1)/$D43)&lt;1,('설정'!$C$31*IF($A43&gt;=31,1+'설정'!$C$14*'설정'!$E$31,1)/$D43)^(-'설정'!$C$6),('설정'!$C$31*IF($A43&gt;=31,1+'설정'!$C$14*'설정'!$E$31,1)/$D43)^(-'설정'!$C$7)),0))</f>
        <v/>
      </c>
      <c r="R43" s="8">
        <f>IF($E43*'설정'!$C$5*IF(('설정'!$C$32*IF($A43&gt;=31,1+'설정'!$C$14*'설정'!$E$32,1)/$D43)&lt;1,('설정'!$C$32*IF($A43&gt;=31,1+'설정'!$C$14*'설정'!$E$32,1)/$D43)^(-'설정'!$C$6),('설정'!$C$32*IF($A43&gt;=31,1+'설정'!$C$14*'설정'!$E$32,1)/$D43)^(-'설정'!$C$7))&gt;('설정'!$C$4+'설정'!$F$32),"실패",ROUND($E43*'설정'!$C$5*IF(('설정'!$C$32*IF($A43&gt;=31,1+'설정'!$C$14*'설정'!$E$32,1)/$D43)&lt;1,('설정'!$C$32*IF($A43&gt;=31,1+'설정'!$C$14*'설정'!$E$32,1)/$D43)^(-'설정'!$C$6),('설정'!$C$32*IF($A43&gt;=31,1+'설정'!$C$14*'설정'!$E$32,1)/$D43)^(-'설정'!$C$7)),0))</f>
        <v/>
      </c>
      <c r="S43" s="8">
        <f>IF($E43*'설정'!$C$5*IF(('설정'!$C$33*IF($A43&gt;=31,1+'설정'!$C$14*'설정'!$E$33,1)/$D43)&lt;1,('설정'!$C$33*IF($A43&gt;=31,1+'설정'!$C$14*'설정'!$E$33,1)/$D43)^(-'설정'!$C$6),('설정'!$C$33*IF($A43&gt;=31,1+'설정'!$C$14*'설정'!$E$33,1)/$D43)^(-'설정'!$C$7))&gt;('설정'!$C$4+'설정'!$F$33),"실패",ROUND($E43*'설정'!$C$5*IF(('설정'!$C$33*IF($A43&gt;=31,1+'설정'!$C$14*'설정'!$E$33,1)/$D43)&lt;1,('설정'!$C$33*IF($A43&gt;=31,1+'설정'!$C$14*'설정'!$E$33,1)/$D43)^(-'설정'!$C$6),('설정'!$C$33*IF($A43&gt;=31,1+'설정'!$C$14*'설정'!$E$33,1)/$D43)^(-'설정'!$C$7)),0))</f>
        <v/>
      </c>
      <c r="T43" s="8">
        <f>IF($E43*'설정'!$C$5*IF(('설정'!$C$34*IF($A43&gt;=31,1+'설정'!$C$14*'설정'!$E$34,1)/$D43)&lt;1,('설정'!$C$34*IF($A43&gt;=31,1+'설정'!$C$14*'설정'!$E$34,1)/$D43)^(-'설정'!$C$6),('설정'!$C$34*IF($A43&gt;=31,1+'설정'!$C$14*'설정'!$E$34,1)/$D43)^(-'설정'!$C$7))&gt;('설정'!$C$4+'설정'!$F$34),"실패",ROUND($E43*'설정'!$C$5*IF(('설정'!$C$34*IF($A43&gt;=31,1+'설정'!$C$14*'설정'!$E$34,1)/$D43)&lt;1,('설정'!$C$34*IF($A43&gt;=31,1+'설정'!$C$14*'설정'!$E$34,1)/$D43)^(-'설정'!$C$6),('설정'!$C$34*IF($A43&gt;=31,1+'설정'!$C$14*'설정'!$E$34,1)/$D43)^(-'설정'!$C$7)),0))</f>
        <v/>
      </c>
      <c r="U43" s="8">
        <f>IF($E43*'설정'!$C$5*IF(('설정'!$C$35*IF($A43&gt;=31,1+'설정'!$C$14*'설정'!$E$35,1)/$D43)&lt;1,('설정'!$C$35*IF($A43&gt;=31,1+'설정'!$C$14*'설정'!$E$35,1)/$D43)^(-'설정'!$C$6),('설정'!$C$35*IF($A43&gt;=31,1+'설정'!$C$14*'설정'!$E$35,1)/$D43)^(-'설정'!$C$7))&gt;('설정'!$C$4+'설정'!$F$35),"실패",ROUND($E43*'설정'!$C$5*IF(('설정'!$C$35*IF($A43&gt;=31,1+'설정'!$C$14*'설정'!$E$35,1)/$D43)&lt;1,('설정'!$C$35*IF($A43&gt;=31,1+'설정'!$C$14*'설정'!$E$35,1)/$D43)^(-'설정'!$C$6),('설정'!$C$35*IF($A43&gt;=31,1+'설정'!$C$14*'설정'!$E$35,1)/$D43)^(-'설정'!$C$7)),0))</f>
        <v/>
      </c>
      <c r="V43" s="8">
        <f>IF($E43*'설정'!$C$5*IF(('설정'!$C$36*IF($A43&gt;=31,1+'설정'!$C$14*'설정'!$E$36,1)/$D43)&lt;1,('설정'!$C$36*IF($A43&gt;=31,1+'설정'!$C$14*'설정'!$E$36,1)/$D43)^(-'설정'!$C$6),('설정'!$C$36*IF($A43&gt;=31,1+'설정'!$C$14*'설정'!$E$36,1)/$D43)^(-'설정'!$C$7))&gt;('설정'!$C$4+'설정'!$F$36),"실패",ROUND($E43*'설정'!$C$5*IF(('설정'!$C$36*IF($A43&gt;=31,1+'설정'!$C$14*'설정'!$E$36,1)/$D43)&lt;1,('설정'!$C$36*IF($A43&gt;=31,1+'설정'!$C$14*'설정'!$E$36,1)/$D43)^(-'설정'!$C$6),('설정'!$C$36*IF($A43&gt;=31,1+'설정'!$C$14*'설정'!$E$36,1)/$D43)^(-'설정'!$C$7)),0))</f>
        <v/>
      </c>
      <c r="W43" s="8">
        <f>IF($E43*'설정'!$C$5*IF(('설정'!$C$37*IF($A43&gt;=31,1+'설정'!$C$14*'설정'!$E$37,1)/$D43)&lt;1,('설정'!$C$37*IF($A43&gt;=31,1+'설정'!$C$14*'설정'!$E$37,1)/$D43)^(-'설정'!$C$6),('설정'!$C$37*IF($A43&gt;=31,1+'설정'!$C$14*'설정'!$E$37,1)/$D43)^(-'설정'!$C$7))&gt;('설정'!$C$4+'설정'!$F$37),"실패",ROUND($E43*'설정'!$C$5*IF(('설정'!$C$37*IF($A43&gt;=31,1+'설정'!$C$14*'설정'!$E$37,1)/$D43)&lt;1,('설정'!$C$37*IF($A43&gt;=31,1+'설정'!$C$14*'설정'!$E$37,1)/$D43)^(-'설정'!$C$6),('설정'!$C$37*IF($A43&gt;=31,1+'설정'!$C$14*'설정'!$E$37,1)/$D43)^(-'설정'!$C$7)),0))</f>
        <v/>
      </c>
    </row>
    <row r="44">
      <c r="A44" t="n">
        <v>42</v>
      </c>
      <c r="B44" t="inlineStr">
        <is>
          <t>쉬움</t>
        </is>
      </c>
      <c r="C44" t="inlineStr"/>
      <c r="D44" s="6" t="n">
        <v>645000</v>
      </c>
      <c r="E44" t="n">
        <v>72</v>
      </c>
      <c r="F44" s="6" t="n">
        <v>12900</v>
      </c>
      <c r="G44" t="n">
        <v>41</v>
      </c>
      <c r="H44" s="8">
        <f>IF($E44*'설정'!$C$5*IF(('설정'!$C$22*IF($A44&gt;=31,1+'설정'!$C$14*'설정'!$E$22,1)/$D44)&lt;1,('설정'!$C$22*IF($A44&gt;=31,1+'설정'!$C$14*'설정'!$E$22,1)/$D44)^(-'설정'!$C$6),('설정'!$C$22*IF($A44&gt;=31,1+'설정'!$C$14*'설정'!$E$22,1)/$D44)^(-'설정'!$C$7))&gt;('설정'!$C$4+'설정'!$F$22),"실패",ROUND($E44*'설정'!$C$5*IF(('설정'!$C$22*IF($A44&gt;=31,1+'설정'!$C$14*'설정'!$E$22,1)/$D44)&lt;1,('설정'!$C$22*IF($A44&gt;=31,1+'설정'!$C$14*'설정'!$E$22,1)/$D44)^(-'설정'!$C$6),('설정'!$C$22*IF($A44&gt;=31,1+'설정'!$C$14*'설정'!$E$22,1)/$D44)^(-'설정'!$C$7)),0))</f>
        <v/>
      </c>
      <c r="I44" s="8">
        <f>IF($E44*'설정'!$C$5*IF(('설정'!$C$23*IF($A44&gt;=31,1+'설정'!$C$14*'설정'!$E$23,1)/$D44)&lt;1,('설정'!$C$23*IF($A44&gt;=31,1+'설정'!$C$14*'설정'!$E$23,1)/$D44)^(-'설정'!$C$6),('설정'!$C$23*IF($A44&gt;=31,1+'설정'!$C$14*'설정'!$E$23,1)/$D44)^(-'설정'!$C$7))&gt;('설정'!$C$4+'설정'!$F$23),"실패",ROUND($E44*'설정'!$C$5*IF(('설정'!$C$23*IF($A44&gt;=31,1+'설정'!$C$14*'설정'!$E$23,1)/$D44)&lt;1,('설정'!$C$23*IF($A44&gt;=31,1+'설정'!$C$14*'설정'!$E$23,1)/$D44)^(-'설정'!$C$6),('설정'!$C$23*IF($A44&gt;=31,1+'설정'!$C$14*'설정'!$E$23,1)/$D44)^(-'설정'!$C$7)),0))</f>
        <v/>
      </c>
      <c r="J44" s="8">
        <f>IF($E44*'설정'!$C$5*IF(('설정'!$C$24*IF($A44&gt;=31,1+'설정'!$C$14*'설정'!$E$24,1)/$D44)&lt;1,('설정'!$C$24*IF($A44&gt;=31,1+'설정'!$C$14*'설정'!$E$24,1)/$D44)^(-'설정'!$C$6),('설정'!$C$24*IF($A44&gt;=31,1+'설정'!$C$14*'설정'!$E$24,1)/$D44)^(-'설정'!$C$7))&gt;('설정'!$C$4+'설정'!$F$24),"실패",ROUND($E44*'설정'!$C$5*IF(('설정'!$C$24*IF($A44&gt;=31,1+'설정'!$C$14*'설정'!$E$24,1)/$D44)&lt;1,('설정'!$C$24*IF($A44&gt;=31,1+'설정'!$C$14*'설정'!$E$24,1)/$D44)^(-'설정'!$C$6),('설정'!$C$24*IF($A44&gt;=31,1+'설정'!$C$14*'설정'!$E$24,1)/$D44)^(-'설정'!$C$7)),0))</f>
        <v/>
      </c>
      <c r="K44" s="8">
        <f>IF($E44*'설정'!$C$5*IF(('설정'!$C$25*IF($A44&gt;=31,1+'설정'!$C$14*'설정'!$E$25,1)/$D44)&lt;1,('설정'!$C$25*IF($A44&gt;=31,1+'설정'!$C$14*'설정'!$E$25,1)/$D44)^(-'설정'!$C$6),('설정'!$C$25*IF($A44&gt;=31,1+'설정'!$C$14*'설정'!$E$25,1)/$D44)^(-'설정'!$C$7))&gt;('설정'!$C$4+'설정'!$F$25),"실패",ROUND($E44*'설정'!$C$5*IF(('설정'!$C$25*IF($A44&gt;=31,1+'설정'!$C$14*'설정'!$E$25,1)/$D44)&lt;1,('설정'!$C$25*IF($A44&gt;=31,1+'설정'!$C$14*'설정'!$E$25,1)/$D44)^(-'설정'!$C$6),('설정'!$C$25*IF($A44&gt;=31,1+'설정'!$C$14*'설정'!$E$25,1)/$D44)^(-'설정'!$C$7)),0))</f>
        <v/>
      </c>
      <c r="L44" s="8">
        <f>IF($E44*'설정'!$C$5*IF(('설정'!$C$26*IF($A44&gt;=31,1+'설정'!$C$14*'설정'!$E$26,1)/$D44)&lt;1,('설정'!$C$26*IF($A44&gt;=31,1+'설정'!$C$14*'설정'!$E$26,1)/$D44)^(-'설정'!$C$6),('설정'!$C$26*IF($A44&gt;=31,1+'설정'!$C$14*'설정'!$E$26,1)/$D44)^(-'설정'!$C$7))&gt;('설정'!$C$4+'설정'!$F$26),"실패",ROUND($E44*'설정'!$C$5*IF(('설정'!$C$26*IF($A44&gt;=31,1+'설정'!$C$14*'설정'!$E$26,1)/$D44)&lt;1,('설정'!$C$26*IF($A44&gt;=31,1+'설정'!$C$14*'설정'!$E$26,1)/$D44)^(-'설정'!$C$6),('설정'!$C$26*IF($A44&gt;=31,1+'설정'!$C$14*'설정'!$E$26,1)/$D44)^(-'설정'!$C$7)),0))</f>
        <v/>
      </c>
      <c r="M44" s="8">
        <f>IF($E44*'설정'!$C$5*IF(('설정'!$C$27*IF($A44&gt;=31,1+'설정'!$C$14*'설정'!$E$27,1)/$D44)&lt;1,('설정'!$C$27*IF($A44&gt;=31,1+'설정'!$C$14*'설정'!$E$27,1)/$D44)^(-'설정'!$C$6),('설정'!$C$27*IF($A44&gt;=31,1+'설정'!$C$14*'설정'!$E$27,1)/$D44)^(-'설정'!$C$7))&gt;('설정'!$C$4+'설정'!$F$27),"실패",ROUND($E44*'설정'!$C$5*IF(('설정'!$C$27*IF($A44&gt;=31,1+'설정'!$C$14*'설정'!$E$27,1)/$D44)&lt;1,('설정'!$C$27*IF($A44&gt;=31,1+'설정'!$C$14*'설정'!$E$27,1)/$D44)^(-'설정'!$C$6),('설정'!$C$27*IF($A44&gt;=31,1+'설정'!$C$14*'설정'!$E$27,1)/$D44)^(-'설정'!$C$7)),0))</f>
        <v/>
      </c>
      <c r="N44" s="8">
        <f>IF($E44*'설정'!$C$5*IF(('설정'!$C$28*IF($A44&gt;=31,1+'설정'!$C$14*'설정'!$E$28,1)/$D44)&lt;1,('설정'!$C$28*IF($A44&gt;=31,1+'설정'!$C$14*'설정'!$E$28,1)/$D44)^(-'설정'!$C$6),('설정'!$C$28*IF($A44&gt;=31,1+'설정'!$C$14*'설정'!$E$28,1)/$D44)^(-'설정'!$C$7))&gt;('설정'!$C$4+'설정'!$F$28),"실패",ROUND($E44*'설정'!$C$5*IF(('설정'!$C$28*IF($A44&gt;=31,1+'설정'!$C$14*'설정'!$E$28,1)/$D44)&lt;1,('설정'!$C$28*IF($A44&gt;=31,1+'설정'!$C$14*'설정'!$E$28,1)/$D44)^(-'설정'!$C$6),('설정'!$C$28*IF($A44&gt;=31,1+'설정'!$C$14*'설정'!$E$28,1)/$D44)^(-'설정'!$C$7)),0))</f>
        <v/>
      </c>
      <c r="O44" s="8">
        <f>IF($E44*'설정'!$C$5*IF(('설정'!$C$29*IF($A44&gt;=31,1+'설정'!$C$14*'설정'!$E$29,1)/$D44)&lt;1,('설정'!$C$29*IF($A44&gt;=31,1+'설정'!$C$14*'설정'!$E$29,1)/$D44)^(-'설정'!$C$6),('설정'!$C$29*IF($A44&gt;=31,1+'설정'!$C$14*'설정'!$E$29,1)/$D44)^(-'설정'!$C$7))&gt;('설정'!$C$4+'설정'!$F$29),"실패",ROUND($E44*'설정'!$C$5*IF(('설정'!$C$29*IF($A44&gt;=31,1+'설정'!$C$14*'설정'!$E$29,1)/$D44)&lt;1,('설정'!$C$29*IF($A44&gt;=31,1+'설정'!$C$14*'설정'!$E$29,1)/$D44)^(-'설정'!$C$6),('설정'!$C$29*IF($A44&gt;=31,1+'설정'!$C$14*'설정'!$E$29,1)/$D44)^(-'설정'!$C$7)),0))</f>
        <v/>
      </c>
      <c r="P44" s="8">
        <f>IF($E44*'설정'!$C$5*IF(('설정'!$C$30*IF($A44&gt;=31,1+'설정'!$C$14*'설정'!$E$30,1)/$D44)&lt;1,('설정'!$C$30*IF($A44&gt;=31,1+'설정'!$C$14*'설정'!$E$30,1)/$D44)^(-'설정'!$C$6),('설정'!$C$30*IF($A44&gt;=31,1+'설정'!$C$14*'설정'!$E$30,1)/$D44)^(-'설정'!$C$7))&gt;('설정'!$C$4+'설정'!$F$30),"실패",ROUND($E44*'설정'!$C$5*IF(('설정'!$C$30*IF($A44&gt;=31,1+'설정'!$C$14*'설정'!$E$30,1)/$D44)&lt;1,('설정'!$C$30*IF($A44&gt;=31,1+'설정'!$C$14*'설정'!$E$30,1)/$D44)^(-'설정'!$C$6),('설정'!$C$30*IF($A44&gt;=31,1+'설정'!$C$14*'설정'!$E$30,1)/$D44)^(-'설정'!$C$7)),0))</f>
        <v/>
      </c>
      <c r="Q44" s="8">
        <f>IF($E44*'설정'!$C$5*IF(('설정'!$C$31*IF($A44&gt;=31,1+'설정'!$C$14*'설정'!$E$31,1)/$D44)&lt;1,('설정'!$C$31*IF($A44&gt;=31,1+'설정'!$C$14*'설정'!$E$31,1)/$D44)^(-'설정'!$C$6),('설정'!$C$31*IF($A44&gt;=31,1+'설정'!$C$14*'설정'!$E$31,1)/$D44)^(-'설정'!$C$7))&gt;('설정'!$C$4+'설정'!$F$31),"실패",ROUND($E44*'설정'!$C$5*IF(('설정'!$C$31*IF($A44&gt;=31,1+'설정'!$C$14*'설정'!$E$31,1)/$D44)&lt;1,('설정'!$C$31*IF($A44&gt;=31,1+'설정'!$C$14*'설정'!$E$31,1)/$D44)^(-'설정'!$C$6),('설정'!$C$31*IF($A44&gt;=31,1+'설정'!$C$14*'설정'!$E$31,1)/$D44)^(-'설정'!$C$7)),0))</f>
        <v/>
      </c>
      <c r="R44" s="8">
        <f>IF($E44*'설정'!$C$5*IF(('설정'!$C$32*IF($A44&gt;=31,1+'설정'!$C$14*'설정'!$E$32,1)/$D44)&lt;1,('설정'!$C$32*IF($A44&gt;=31,1+'설정'!$C$14*'설정'!$E$32,1)/$D44)^(-'설정'!$C$6),('설정'!$C$32*IF($A44&gt;=31,1+'설정'!$C$14*'설정'!$E$32,1)/$D44)^(-'설정'!$C$7))&gt;('설정'!$C$4+'설정'!$F$32),"실패",ROUND($E44*'설정'!$C$5*IF(('설정'!$C$32*IF($A44&gt;=31,1+'설정'!$C$14*'설정'!$E$32,1)/$D44)&lt;1,('설정'!$C$32*IF($A44&gt;=31,1+'설정'!$C$14*'설정'!$E$32,1)/$D44)^(-'설정'!$C$6),('설정'!$C$32*IF($A44&gt;=31,1+'설정'!$C$14*'설정'!$E$32,1)/$D44)^(-'설정'!$C$7)),0))</f>
        <v/>
      </c>
      <c r="S44" s="8">
        <f>IF($E44*'설정'!$C$5*IF(('설정'!$C$33*IF($A44&gt;=31,1+'설정'!$C$14*'설정'!$E$33,1)/$D44)&lt;1,('설정'!$C$33*IF($A44&gt;=31,1+'설정'!$C$14*'설정'!$E$33,1)/$D44)^(-'설정'!$C$6),('설정'!$C$33*IF($A44&gt;=31,1+'설정'!$C$14*'설정'!$E$33,1)/$D44)^(-'설정'!$C$7))&gt;('설정'!$C$4+'설정'!$F$33),"실패",ROUND($E44*'설정'!$C$5*IF(('설정'!$C$33*IF($A44&gt;=31,1+'설정'!$C$14*'설정'!$E$33,1)/$D44)&lt;1,('설정'!$C$33*IF($A44&gt;=31,1+'설정'!$C$14*'설정'!$E$33,1)/$D44)^(-'설정'!$C$6),('설정'!$C$33*IF($A44&gt;=31,1+'설정'!$C$14*'설정'!$E$33,1)/$D44)^(-'설정'!$C$7)),0))</f>
        <v/>
      </c>
      <c r="T44" s="8">
        <f>IF($E44*'설정'!$C$5*IF(('설정'!$C$34*IF($A44&gt;=31,1+'설정'!$C$14*'설정'!$E$34,1)/$D44)&lt;1,('설정'!$C$34*IF($A44&gt;=31,1+'설정'!$C$14*'설정'!$E$34,1)/$D44)^(-'설정'!$C$6),('설정'!$C$34*IF($A44&gt;=31,1+'설정'!$C$14*'설정'!$E$34,1)/$D44)^(-'설정'!$C$7))&gt;('설정'!$C$4+'설정'!$F$34),"실패",ROUND($E44*'설정'!$C$5*IF(('설정'!$C$34*IF($A44&gt;=31,1+'설정'!$C$14*'설정'!$E$34,1)/$D44)&lt;1,('설정'!$C$34*IF($A44&gt;=31,1+'설정'!$C$14*'설정'!$E$34,1)/$D44)^(-'설정'!$C$6),('설정'!$C$34*IF($A44&gt;=31,1+'설정'!$C$14*'설정'!$E$34,1)/$D44)^(-'설정'!$C$7)),0))</f>
        <v/>
      </c>
      <c r="U44" s="8">
        <f>IF($E44*'설정'!$C$5*IF(('설정'!$C$35*IF($A44&gt;=31,1+'설정'!$C$14*'설정'!$E$35,1)/$D44)&lt;1,('설정'!$C$35*IF($A44&gt;=31,1+'설정'!$C$14*'설정'!$E$35,1)/$D44)^(-'설정'!$C$6),('설정'!$C$35*IF($A44&gt;=31,1+'설정'!$C$14*'설정'!$E$35,1)/$D44)^(-'설정'!$C$7))&gt;('설정'!$C$4+'설정'!$F$35),"실패",ROUND($E44*'설정'!$C$5*IF(('설정'!$C$35*IF($A44&gt;=31,1+'설정'!$C$14*'설정'!$E$35,1)/$D44)&lt;1,('설정'!$C$35*IF($A44&gt;=31,1+'설정'!$C$14*'설정'!$E$35,1)/$D44)^(-'설정'!$C$6),('설정'!$C$35*IF($A44&gt;=31,1+'설정'!$C$14*'설정'!$E$35,1)/$D44)^(-'설정'!$C$7)),0))</f>
        <v/>
      </c>
      <c r="V44" s="8">
        <f>IF($E44*'설정'!$C$5*IF(('설정'!$C$36*IF($A44&gt;=31,1+'설정'!$C$14*'설정'!$E$36,1)/$D44)&lt;1,('설정'!$C$36*IF($A44&gt;=31,1+'설정'!$C$14*'설정'!$E$36,1)/$D44)^(-'설정'!$C$6),('설정'!$C$36*IF($A44&gt;=31,1+'설정'!$C$14*'설정'!$E$36,1)/$D44)^(-'설정'!$C$7))&gt;('설정'!$C$4+'설정'!$F$36),"실패",ROUND($E44*'설정'!$C$5*IF(('설정'!$C$36*IF($A44&gt;=31,1+'설정'!$C$14*'설정'!$E$36,1)/$D44)&lt;1,('설정'!$C$36*IF($A44&gt;=31,1+'설정'!$C$14*'설정'!$E$36,1)/$D44)^(-'설정'!$C$6),('설정'!$C$36*IF($A44&gt;=31,1+'설정'!$C$14*'설정'!$E$36,1)/$D44)^(-'설정'!$C$7)),0))</f>
        <v/>
      </c>
      <c r="W44" s="8">
        <f>IF($E44*'설정'!$C$5*IF(('설정'!$C$37*IF($A44&gt;=31,1+'설정'!$C$14*'설정'!$E$37,1)/$D44)&lt;1,('설정'!$C$37*IF($A44&gt;=31,1+'설정'!$C$14*'설정'!$E$37,1)/$D44)^(-'설정'!$C$6),('설정'!$C$37*IF($A44&gt;=31,1+'설정'!$C$14*'설정'!$E$37,1)/$D44)^(-'설정'!$C$7))&gt;('설정'!$C$4+'설정'!$F$37),"실패",ROUND($E44*'설정'!$C$5*IF(('설정'!$C$37*IF($A44&gt;=31,1+'설정'!$C$14*'설정'!$E$37,1)/$D44)&lt;1,('설정'!$C$37*IF($A44&gt;=31,1+'설정'!$C$14*'설정'!$E$37,1)/$D44)^(-'설정'!$C$6),('설정'!$C$37*IF($A44&gt;=31,1+'설정'!$C$14*'설정'!$E$37,1)/$D44)^(-'설정'!$C$7)),0))</f>
        <v/>
      </c>
    </row>
    <row r="45">
      <c r="A45" t="n">
        <v>43</v>
      </c>
      <c r="B45" t="inlineStr">
        <is>
          <t>보통</t>
        </is>
      </c>
      <c r="C45" t="inlineStr"/>
      <c r="D45" s="6" t="n">
        <v>741000</v>
      </c>
      <c r="E45" t="n">
        <v>72</v>
      </c>
      <c r="F45" s="6" t="n">
        <v>14800</v>
      </c>
      <c r="G45" t="n">
        <v>41</v>
      </c>
      <c r="H45" s="8">
        <f>IF($E45*'설정'!$C$5*IF(('설정'!$C$22*IF($A45&gt;=31,1+'설정'!$C$14*'설정'!$E$22,1)/$D45)&lt;1,('설정'!$C$22*IF($A45&gt;=31,1+'설정'!$C$14*'설정'!$E$22,1)/$D45)^(-'설정'!$C$6),('설정'!$C$22*IF($A45&gt;=31,1+'설정'!$C$14*'설정'!$E$22,1)/$D45)^(-'설정'!$C$7))&gt;('설정'!$C$4+'설정'!$F$22),"실패",ROUND($E45*'설정'!$C$5*IF(('설정'!$C$22*IF($A45&gt;=31,1+'설정'!$C$14*'설정'!$E$22,1)/$D45)&lt;1,('설정'!$C$22*IF($A45&gt;=31,1+'설정'!$C$14*'설정'!$E$22,1)/$D45)^(-'설정'!$C$6),('설정'!$C$22*IF($A45&gt;=31,1+'설정'!$C$14*'설정'!$E$22,1)/$D45)^(-'설정'!$C$7)),0))</f>
        <v/>
      </c>
      <c r="I45" s="8">
        <f>IF($E45*'설정'!$C$5*IF(('설정'!$C$23*IF($A45&gt;=31,1+'설정'!$C$14*'설정'!$E$23,1)/$D45)&lt;1,('설정'!$C$23*IF($A45&gt;=31,1+'설정'!$C$14*'설정'!$E$23,1)/$D45)^(-'설정'!$C$6),('설정'!$C$23*IF($A45&gt;=31,1+'설정'!$C$14*'설정'!$E$23,1)/$D45)^(-'설정'!$C$7))&gt;('설정'!$C$4+'설정'!$F$23),"실패",ROUND($E45*'설정'!$C$5*IF(('설정'!$C$23*IF($A45&gt;=31,1+'설정'!$C$14*'설정'!$E$23,1)/$D45)&lt;1,('설정'!$C$23*IF($A45&gt;=31,1+'설정'!$C$14*'설정'!$E$23,1)/$D45)^(-'설정'!$C$6),('설정'!$C$23*IF($A45&gt;=31,1+'설정'!$C$14*'설정'!$E$23,1)/$D45)^(-'설정'!$C$7)),0))</f>
        <v/>
      </c>
      <c r="J45" s="8">
        <f>IF($E45*'설정'!$C$5*IF(('설정'!$C$24*IF($A45&gt;=31,1+'설정'!$C$14*'설정'!$E$24,1)/$D45)&lt;1,('설정'!$C$24*IF($A45&gt;=31,1+'설정'!$C$14*'설정'!$E$24,1)/$D45)^(-'설정'!$C$6),('설정'!$C$24*IF($A45&gt;=31,1+'설정'!$C$14*'설정'!$E$24,1)/$D45)^(-'설정'!$C$7))&gt;('설정'!$C$4+'설정'!$F$24),"실패",ROUND($E45*'설정'!$C$5*IF(('설정'!$C$24*IF($A45&gt;=31,1+'설정'!$C$14*'설정'!$E$24,1)/$D45)&lt;1,('설정'!$C$24*IF($A45&gt;=31,1+'설정'!$C$14*'설정'!$E$24,1)/$D45)^(-'설정'!$C$6),('설정'!$C$24*IF($A45&gt;=31,1+'설정'!$C$14*'설정'!$E$24,1)/$D45)^(-'설정'!$C$7)),0))</f>
        <v/>
      </c>
      <c r="K45" s="8">
        <f>IF($E45*'설정'!$C$5*IF(('설정'!$C$25*IF($A45&gt;=31,1+'설정'!$C$14*'설정'!$E$25,1)/$D45)&lt;1,('설정'!$C$25*IF($A45&gt;=31,1+'설정'!$C$14*'설정'!$E$25,1)/$D45)^(-'설정'!$C$6),('설정'!$C$25*IF($A45&gt;=31,1+'설정'!$C$14*'설정'!$E$25,1)/$D45)^(-'설정'!$C$7))&gt;('설정'!$C$4+'설정'!$F$25),"실패",ROUND($E45*'설정'!$C$5*IF(('설정'!$C$25*IF($A45&gt;=31,1+'설정'!$C$14*'설정'!$E$25,1)/$D45)&lt;1,('설정'!$C$25*IF($A45&gt;=31,1+'설정'!$C$14*'설정'!$E$25,1)/$D45)^(-'설정'!$C$6),('설정'!$C$25*IF($A45&gt;=31,1+'설정'!$C$14*'설정'!$E$25,1)/$D45)^(-'설정'!$C$7)),0))</f>
        <v/>
      </c>
      <c r="L45" s="8">
        <f>IF($E45*'설정'!$C$5*IF(('설정'!$C$26*IF($A45&gt;=31,1+'설정'!$C$14*'설정'!$E$26,1)/$D45)&lt;1,('설정'!$C$26*IF($A45&gt;=31,1+'설정'!$C$14*'설정'!$E$26,1)/$D45)^(-'설정'!$C$6),('설정'!$C$26*IF($A45&gt;=31,1+'설정'!$C$14*'설정'!$E$26,1)/$D45)^(-'설정'!$C$7))&gt;('설정'!$C$4+'설정'!$F$26),"실패",ROUND($E45*'설정'!$C$5*IF(('설정'!$C$26*IF($A45&gt;=31,1+'설정'!$C$14*'설정'!$E$26,1)/$D45)&lt;1,('설정'!$C$26*IF($A45&gt;=31,1+'설정'!$C$14*'설정'!$E$26,1)/$D45)^(-'설정'!$C$6),('설정'!$C$26*IF($A45&gt;=31,1+'설정'!$C$14*'설정'!$E$26,1)/$D45)^(-'설정'!$C$7)),0))</f>
        <v/>
      </c>
      <c r="M45" s="8">
        <f>IF($E45*'설정'!$C$5*IF(('설정'!$C$27*IF($A45&gt;=31,1+'설정'!$C$14*'설정'!$E$27,1)/$D45)&lt;1,('설정'!$C$27*IF($A45&gt;=31,1+'설정'!$C$14*'설정'!$E$27,1)/$D45)^(-'설정'!$C$6),('설정'!$C$27*IF($A45&gt;=31,1+'설정'!$C$14*'설정'!$E$27,1)/$D45)^(-'설정'!$C$7))&gt;('설정'!$C$4+'설정'!$F$27),"실패",ROUND($E45*'설정'!$C$5*IF(('설정'!$C$27*IF($A45&gt;=31,1+'설정'!$C$14*'설정'!$E$27,1)/$D45)&lt;1,('설정'!$C$27*IF($A45&gt;=31,1+'설정'!$C$14*'설정'!$E$27,1)/$D45)^(-'설정'!$C$6),('설정'!$C$27*IF($A45&gt;=31,1+'설정'!$C$14*'설정'!$E$27,1)/$D45)^(-'설정'!$C$7)),0))</f>
        <v/>
      </c>
      <c r="N45" s="8">
        <f>IF($E45*'설정'!$C$5*IF(('설정'!$C$28*IF($A45&gt;=31,1+'설정'!$C$14*'설정'!$E$28,1)/$D45)&lt;1,('설정'!$C$28*IF($A45&gt;=31,1+'설정'!$C$14*'설정'!$E$28,1)/$D45)^(-'설정'!$C$6),('설정'!$C$28*IF($A45&gt;=31,1+'설정'!$C$14*'설정'!$E$28,1)/$D45)^(-'설정'!$C$7))&gt;('설정'!$C$4+'설정'!$F$28),"실패",ROUND($E45*'설정'!$C$5*IF(('설정'!$C$28*IF($A45&gt;=31,1+'설정'!$C$14*'설정'!$E$28,1)/$D45)&lt;1,('설정'!$C$28*IF($A45&gt;=31,1+'설정'!$C$14*'설정'!$E$28,1)/$D45)^(-'설정'!$C$6),('설정'!$C$28*IF($A45&gt;=31,1+'설정'!$C$14*'설정'!$E$28,1)/$D45)^(-'설정'!$C$7)),0))</f>
        <v/>
      </c>
      <c r="O45" s="8">
        <f>IF($E45*'설정'!$C$5*IF(('설정'!$C$29*IF($A45&gt;=31,1+'설정'!$C$14*'설정'!$E$29,1)/$D45)&lt;1,('설정'!$C$29*IF($A45&gt;=31,1+'설정'!$C$14*'설정'!$E$29,1)/$D45)^(-'설정'!$C$6),('설정'!$C$29*IF($A45&gt;=31,1+'설정'!$C$14*'설정'!$E$29,1)/$D45)^(-'설정'!$C$7))&gt;('설정'!$C$4+'설정'!$F$29),"실패",ROUND($E45*'설정'!$C$5*IF(('설정'!$C$29*IF($A45&gt;=31,1+'설정'!$C$14*'설정'!$E$29,1)/$D45)&lt;1,('설정'!$C$29*IF($A45&gt;=31,1+'설정'!$C$14*'설정'!$E$29,1)/$D45)^(-'설정'!$C$6),('설정'!$C$29*IF($A45&gt;=31,1+'설정'!$C$14*'설정'!$E$29,1)/$D45)^(-'설정'!$C$7)),0))</f>
        <v/>
      </c>
      <c r="P45" s="8">
        <f>IF($E45*'설정'!$C$5*IF(('설정'!$C$30*IF($A45&gt;=31,1+'설정'!$C$14*'설정'!$E$30,1)/$D45)&lt;1,('설정'!$C$30*IF($A45&gt;=31,1+'설정'!$C$14*'설정'!$E$30,1)/$D45)^(-'설정'!$C$6),('설정'!$C$30*IF($A45&gt;=31,1+'설정'!$C$14*'설정'!$E$30,1)/$D45)^(-'설정'!$C$7))&gt;('설정'!$C$4+'설정'!$F$30),"실패",ROUND($E45*'설정'!$C$5*IF(('설정'!$C$30*IF($A45&gt;=31,1+'설정'!$C$14*'설정'!$E$30,1)/$D45)&lt;1,('설정'!$C$30*IF($A45&gt;=31,1+'설정'!$C$14*'설정'!$E$30,1)/$D45)^(-'설정'!$C$6),('설정'!$C$30*IF($A45&gt;=31,1+'설정'!$C$14*'설정'!$E$30,1)/$D45)^(-'설정'!$C$7)),0))</f>
        <v/>
      </c>
      <c r="Q45" s="8">
        <f>IF($E45*'설정'!$C$5*IF(('설정'!$C$31*IF($A45&gt;=31,1+'설정'!$C$14*'설정'!$E$31,1)/$D45)&lt;1,('설정'!$C$31*IF($A45&gt;=31,1+'설정'!$C$14*'설정'!$E$31,1)/$D45)^(-'설정'!$C$6),('설정'!$C$31*IF($A45&gt;=31,1+'설정'!$C$14*'설정'!$E$31,1)/$D45)^(-'설정'!$C$7))&gt;('설정'!$C$4+'설정'!$F$31),"실패",ROUND($E45*'설정'!$C$5*IF(('설정'!$C$31*IF($A45&gt;=31,1+'설정'!$C$14*'설정'!$E$31,1)/$D45)&lt;1,('설정'!$C$31*IF($A45&gt;=31,1+'설정'!$C$14*'설정'!$E$31,1)/$D45)^(-'설정'!$C$6),('설정'!$C$31*IF($A45&gt;=31,1+'설정'!$C$14*'설정'!$E$31,1)/$D45)^(-'설정'!$C$7)),0))</f>
        <v/>
      </c>
      <c r="R45" s="8">
        <f>IF($E45*'설정'!$C$5*IF(('설정'!$C$32*IF($A45&gt;=31,1+'설정'!$C$14*'설정'!$E$32,1)/$D45)&lt;1,('설정'!$C$32*IF($A45&gt;=31,1+'설정'!$C$14*'설정'!$E$32,1)/$D45)^(-'설정'!$C$6),('설정'!$C$32*IF($A45&gt;=31,1+'설정'!$C$14*'설정'!$E$32,1)/$D45)^(-'설정'!$C$7))&gt;('설정'!$C$4+'설정'!$F$32),"실패",ROUND($E45*'설정'!$C$5*IF(('설정'!$C$32*IF($A45&gt;=31,1+'설정'!$C$14*'설정'!$E$32,1)/$D45)&lt;1,('설정'!$C$32*IF($A45&gt;=31,1+'설정'!$C$14*'설정'!$E$32,1)/$D45)^(-'설정'!$C$6),('설정'!$C$32*IF($A45&gt;=31,1+'설정'!$C$14*'설정'!$E$32,1)/$D45)^(-'설정'!$C$7)),0))</f>
        <v/>
      </c>
      <c r="S45" s="8">
        <f>IF($E45*'설정'!$C$5*IF(('설정'!$C$33*IF($A45&gt;=31,1+'설정'!$C$14*'설정'!$E$33,1)/$D45)&lt;1,('설정'!$C$33*IF($A45&gt;=31,1+'설정'!$C$14*'설정'!$E$33,1)/$D45)^(-'설정'!$C$6),('설정'!$C$33*IF($A45&gt;=31,1+'설정'!$C$14*'설정'!$E$33,1)/$D45)^(-'설정'!$C$7))&gt;('설정'!$C$4+'설정'!$F$33),"실패",ROUND($E45*'설정'!$C$5*IF(('설정'!$C$33*IF($A45&gt;=31,1+'설정'!$C$14*'설정'!$E$33,1)/$D45)&lt;1,('설정'!$C$33*IF($A45&gt;=31,1+'설정'!$C$14*'설정'!$E$33,1)/$D45)^(-'설정'!$C$6),('설정'!$C$33*IF($A45&gt;=31,1+'설정'!$C$14*'설정'!$E$33,1)/$D45)^(-'설정'!$C$7)),0))</f>
        <v/>
      </c>
      <c r="T45" s="8">
        <f>IF($E45*'설정'!$C$5*IF(('설정'!$C$34*IF($A45&gt;=31,1+'설정'!$C$14*'설정'!$E$34,1)/$D45)&lt;1,('설정'!$C$34*IF($A45&gt;=31,1+'설정'!$C$14*'설정'!$E$34,1)/$D45)^(-'설정'!$C$6),('설정'!$C$34*IF($A45&gt;=31,1+'설정'!$C$14*'설정'!$E$34,1)/$D45)^(-'설정'!$C$7))&gt;('설정'!$C$4+'설정'!$F$34),"실패",ROUND($E45*'설정'!$C$5*IF(('설정'!$C$34*IF($A45&gt;=31,1+'설정'!$C$14*'설정'!$E$34,1)/$D45)&lt;1,('설정'!$C$34*IF($A45&gt;=31,1+'설정'!$C$14*'설정'!$E$34,1)/$D45)^(-'설정'!$C$6),('설정'!$C$34*IF($A45&gt;=31,1+'설정'!$C$14*'설정'!$E$34,1)/$D45)^(-'설정'!$C$7)),0))</f>
        <v/>
      </c>
      <c r="U45" s="8">
        <f>IF($E45*'설정'!$C$5*IF(('설정'!$C$35*IF($A45&gt;=31,1+'설정'!$C$14*'설정'!$E$35,1)/$D45)&lt;1,('설정'!$C$35*IF($A45&gt;=31,1+'설정'!$C$14*'설정'!$E$35,1)/$D45)^(-'설정'!$C$6),('설정'!$C$35*IF($A45&gt;=31,1+'설정'!$C$14*'설정'!$E$35,1)/$D45)^(-'설정'!$C$7))&gt;('설정'!$C$4+'설정'!$F$35),"실패",ROUND($E45*'설정'!$C$5*IF(('설정'!$C$35*IF($A45&gt;=31,1+'설정'!$C$14*'설정'!$E$35,1)/$D45)&lt;1,('설정'!$C$35*IF($A45&gt;=31,1+'설정'!$C$14*'설정'!$E$35,1)/$D45)^(-'설정'!$C$6),('설정'!$C$35*IF($A45&gt;=31,1+'설정'!$C$14*'설정'!$E$35,1)/$D45)^(-'설정'!$C$7)),0))</f>
        <v/>
      </c>
      <c r="V45" s="8">
        <f>IF($E45*'설정'!$C$5*IF(('설정'!$C$36*IF($A45&gt;=31,1+'설정'!$C$14*'설정'!$E$36,1)/$D45)&lt;1,('설정'!$C$36*IF($A45&gt;=31,1+'설정'!$C$14*'설정'!$E$36,1)/$D45)^(-'설정'!$C$6),('설정'!$C$36*IF($A45&gt;=31,1+'설정'!$C$14*'설정'!$E$36,1)/$D45)^(-'설정'!$C$7))&gt;('설정'!$C$4+'설정'!$F$36),"실패",ROUND($E45*'설정'!$C$5*IF(('설정'!$C$36*IF($A45&gt;=31,1+'설정'!$C$14*'설정'!$E$36,1)/$D45)&lt;1,('설정'!$C$36*IF($A45&gt;=31,1+'설정'!$C$14*'설정'!$E$36,1)/$D45)^(-'설정'!$C$6),('설정'!$C$36*IF($A45&gt;=31,1+'설정'!$C$14*'설정'!$E$36,1)/$D45)^(-'설정'!$C$7)),0))</f>
        <v/>
      </c>
      <c r="W45" s="8">
        <f>IF($E45*'설정'!$C$5*IF(('설정'!$C$37*IF($A45&gt;=31,1+'설정'!$C$14*'설정'!$E$37,1)/$D45)&lt;1,('설정'!$C$37*IF($A45&gt;=31,1+'설정'!$C$14*'설정'!$E$37,1)/$D45)^(-'설정'!$C$6),('설정'!$C$37*IF($A45&gt;=31,1+'설정'!$C$14*'설정'!$E$37,1)/$D45)^(-'설정'!$C$7))&gt;('설정'!$C$4+'설정'!$F$37),"실패",ROUND($E45*'설정'!$C$5*IF(('설정'!$C$37*IF($A45&gt;=31,1+'설정'!$C$14*'설정'!$E$37,1)/$D45)&lt;1,('설정'!$C$37*IF($A45&gt;=31,1+'설정'!$C$14*'설정'!$E$37,1)/$D45)^(-'설정'!$C$6),('설정'!$C$37*IF($A45&gt;=31,1+'설정'!$C$14*'설정'!$E$37,1)/$D45)^(-'설정'!$C$7)),0))</f>
        <v/>
      </c>
    </row>
    <row r="46">
      <c r="A46" t="n">
        <v>44</v>
      </c>
      <c r="B46" t="inlineStr">
        <is>
          <t>보통</t>
        </is>
      </c>
      <c r="C46" t="inlineStr"/>
      <c r="D46" s="6" t="n">
        <v>850000</v>
      </c>
      <c r="E46" t="n">
        <v>72</v>
      </c>
      <c r="F46" s="6" t="n">
        <v>17000</v>
      </c>
      <c r="G46" t="n">
        <v>41</v>
      </c>
      <c r="H46" s="8">
        <f>IF($E46*'설정'!$C$5*IF(('설정'!$C$22*IF($A46&gt;=31,1+'설정'!$C$14*'설정'!$E$22,1)/$D46)&lt;1,('설정'!$C$22*IF($A46&gt;=31,1+'설정'!$C$14*'설정'!$E$22,1)/$D46)^(-'설정'!$C$6),('설정'!$C$22*IF($A46&gt;=31,1+'설정'!$C$14*'설정'!$E$22,1)/$D46)^(-'설정'!$C$7))&gt;('설정'!$C$4+'설정'!$F$22),"실패",ROUND($E46*'설정'!$C$5*IF(('설정'!$C$22*IF($A46&gt;=31,1+'설정'!$C$14*'설정'!$E$22,1)/$D46)&lt;1,('설정'!$C$22*IF($A46&gt;=31,1+'설정'!$C$14*'설정'!$E$22,1)/$D46)^(-'설정'!$C$6),('설정'!$C$22*IF($A46&gt;=31,1+'설정'!$C$14*'설정'!$E$22,1)/$D46)^(-'설정'!$C$7)),0))</f>
        <v/>
      </c>
      <c r="I46" s="8">
        <f>IF($E46*'설정'!$C$5*IF(('설정'!$C$23*IF($A46&gt;=31,1+'설정'!$C$14*'설정'!$E$23,1)/$D46)&lt;1,('설정'!$C$23*IF($A46&gt;=31,1+'설정'!$C$14*'설정'!$E$23,1)/$D46)^(-'설정'!$C$6),('설정'!$C$23*IF($A46&gt;=31,1+'설정'!$C$14*'설정'!$E$23,1)/$D46)^(-'설정'!$C$7))&gt;('설정'!$C$4+'설정'!$F$23),"실패",ROUND($E46*'설정'!$C$5*IF(('설정'!$C$23*IF($A46&gt;=31,1+'설정'!$C$14*'설정'!$E$23,1)/$D46)&lt;1,('설정'!$C$23*IF($A46&gt;=31,1+'설정'!$C$14*'설정'!$E$23,1)/$D46)^(-'설정'!$C$6),('설정'!$C$23*IF($A46&gt;=31,1+'설정'!$C$14*'설정'!$E$23,1)/$D46)^(-'설정'!$C$7)),0))</f>
        <v/>
      </c>
      <c r="J46" s="8">
        <f>IF($E46*'설정'!$C$5*IF(('설정'!$C$24*IF($A46&gt;=31,1+'설정'!$C$14*'설정'!$E$24,1)/$D46)&lt;1,('설정'!$C$24*IF($A46&gt;=31,1+'설정'!$C$14*'설정'!$E$24,1)/$D46)^(-'설정'!$C$6),('설정'!$C$24*IF($A46&gt;=31,1+'설정'!$C$14*'설정'!$E$24,1)/$D46)^(-'설정'!$C$7))&gt;('설정'!$C$4+'설정'!$F$24),"실패",ROUND($E46*'설정'!$C$5*IF(('설정'!$C$24*IF($A46&gt;=31,1+'설정'!$C$14*'설정'!$E$24,1)/$D46)&lt;1,('설정'!$C$24*IF($A46&gt;=31,1+'설정'!$C$14*'설정'!$E$24,1)/$D46)^(-'설정'!$C$6),('설정'!$C$24*IF($A46&gt;=31,1+'설정'!$C$14*'설정'!$E$24,1)/$D46)^(-'설정'!$C$7)),0))</f>
        <v/>
      </c>
      <c r="K46" s="8">
        <f>IF($E46*'설정'!$C$5*IF(('설정'!$C$25*IF($A46&gt;=31,1+'설정'!$C$14*'설정'!$E$25,1)/$D46)&lt;1,('설정'!$C$25*IF($A46&gt;=31,1+'설정'!$C$14*'설정'!$E$25,1)/$D46)^(-'설정'!$C$6),('설정'!$C$25*IF($A46&gt;=31,1+'설정'!$C$14*'설정'!$E$25,1)/$D46)^(-'설정'!$C$7))&gt;('설정'!$C$4+'설정'!$F$25),"실패",ROUND($E46*'설정'!$C$5*IF(('설정'!$C$25*IF($A46&gt;=31,1+'설정'!$C$14*'설정'!$E$25,1)/$D46)&lt;1,('설정'!$C$25*IF($A46&gt;=31,1+'설정'!$C$14*'설정'!$E$25,1)/$D46)^(-'설정'!$C$6),('설정'!$C$25*IF($A46&gt;=31,1+'설정'!$C$14*'설정'!$E$25,1)/$D46)^(-'설정'!$C$7)),0))</f>
        <v/>
      </c>
      <c r="L46" s="8">
        <f>IF($E46*'설정'!$C$5*IF(('설정'!$C$26*IF($A46&gt;=31,1+'설정'!$C$14*'설정'!$E$26,1)/$D46)&lt;1,('설정'!$C$26*IF($A46&gt;=31,1+'설정'!$C$14*'설정'!$E$26,1)/$D46)^(-'설정'!$C$6),('설정'!$C$26*IF($A46&gt;=31,1+'설정'!$C$14*'설정'!$E$26,1)/$D46)^(-'설정'!$C$7))&gt;('설정'!$C$4+'설정'!$F$26),"실패",ROUND($E46*'설정'!$C$5*IF(('설정'!$C$26*IF($A46&gt;=31,1+'설정'!$C$14*'설정'!$E$26,1)/$D46)&lt;1,('설정'!$C$26*IF($A46&gt;=31,1+'설정'!$C$14*'설정'!$E$26,1)/$D46)^(-'설정'!$C$6),('설정'!$C$26*IF($A46&gt;=31,1+'설정'!$C$14*'설정'!$E$26,1)/$D46)^(-'설정'!$C$7)),0))</f>
        <v/>
      </c>
      <c r="M46" s="8">
        <f>IF($E46*'설정'!$C$5*IF(('설정'!$C$27*IF($A46&gt;=31,1+'설정'!$C$14*'설정'!$E$27,1)/$D46)&lt;1,('설정'!$C$27*IF($A46&gt;=31,1+'설정'!$C$14*'설정'!$E$27,1)/$D46)^(-'설정'!$C$6),('설정'!$C$27*IF($A46&gt;=31,1+'설정'!$C$14*'설정'!$E$27,1)/$D46)^(-'설정'!$C$7))&gt;('설정'!$C$4+'설정'!$F$27),"실패",ROUND($E46*'설정'!$C$5*IF(('설정'!$C$27*IF($A46&gt;=31,1+'설정'!$C$14*'설정'!$E$27,1)/$D46)&lt;1,('설정'!$C$27*IF($A46&gt;=31,1+'설정'!$C$14*'설정'!$E$27,1)/$D46)^(-'설정'!$C$6),('설정'!$C$27*IF($A46&gt;=31,1+'설정'!$C$14*'설정'!$E$27,1)/$D46)^(-'설정'!$C$7)),0))</f>
        <v/>
      </c>
      <c r="N46" s="8">
        <f>IF($E46*'설정'!$C$5*IF(('설정'!$C$28*IF($A46&gt;=31,1+'설정'!$C$14*'설정'!$E$28,1)/$D46)&lt;1,('설정'!$C$28*IF($A46&gt;=31,1+'설정'!$C$14*'설정'!$E$28,1)/$D46)^(-'설정'!$C$6),('설정'!$C$28*IF($A46&gt;=31,1+'설정'!$C$14*'설정'!$E$28,1)/$D46)^(-'설정'!$C$7))&gt;('설정'!$C$4+'설정'!$F$28),"실패",ROUND($E46*'설정'!$C$5*IF(('설정'!$C$28*IF($A46&gt;=31,1+'설정'!$C$14*'설정'!$E$28,1)/$D46)&lt;1,('설정'!$C$28*IF($A46&gt;=31,1+'설정'!$C$14*'설정'!$E$28,1)/$D46)^(-'설정'!$C$6),('설정'!$C$28*IF($A46&gt;=31,1+'설정'!$C$14*'설정'!$E$28,1)/$D46)^(-'설정'!$C$7)),0))</f>
        <v/>
      </c>
      <c r="O46" s="8">
        <f>IF($E46*'설정'!$C$5*IF(('설정'!$C$29*IF($A46&gt;=31,1+'설정'!$C$14*'설정'!$E$29,1)/$D46)&lt;1,('설정'!$C$29*IF($A46&gt;=31,1+'설정'!$C$14*'설정'!$E$29,1)/$D46)^(-'설정'!$C$6),('설정'!$C$29*IF($A46&gt;=31,1+'설정'!$C$14*'설정'!$E$29,1)/$D46)^(-'설정'!$C$7))&gt;('설정'!$C$4+'설정'!$F$29),"실패",ROUND($E46*'설정'!$C$5*IF(('설정'!$C$29*IF($A46&gt;=31,1+'설정'!$C$14*'설정'!$E$29,1)/$D46)&lt;1,('설정'!$C$29*IF($A46&gt;=31,1+'설정'!$C$14*'설정'!$E$29,1)/$D46)^(-'설정'!$C$6),('설정'!$C$29*IF($A46&gt;=31,1+'설정'!$C$14*'설정'!$E$29,1)/$D46)^(-'설정'!$C$7)),0))</f>
        <v/>
      </c>
      <c r="P46" s="8">
        <f>IF($E46*'설정'!$C$5*IF(('설정'!$C$30*IF($A46&gt;=31,1+'설정'!$C$14*'설정'!$E$30,1)/$D46)&lt;1,('설정'!$C$30*IF($A46&gt;=31,1+'설정'!$C$14*'설정'!$E$30,1)/$D46)^(-'설정'!$C$6),('설정'!$C$30*IF($A46&gt;=31,1+'설정'!$C$14*'설정'!$E$30,1)/$D46)^(-'설정'!$C$7))&gt;('설정'!$C$4+'설정'!$F$30),"실패",ROUND($E46*'설정'!$C$5*IF(('설정'!$C$30*IF($A46&gt;=31,1+'설정'!$C$14*'설정'!$E$30,1)/$D46)&lt;1,('설정'!$C$30*IF($A46&gt;=31,1+'설정'!$C$14*'설정'!$E$30,1)/$D46)^(-'설정'!$C$6),('설정'!$C$30*IF($A46&gt;=31,1+'설정'!$C$14*'설정'!$E$30,1)/$D46)^(-'설정'!$C$7)),0))</f>
        <v/>
      </c>
      <c r="Q46" s="8">
        <f>IF($E46*'설정'!$C$5*IF(('설정'!$C$31*IF($A46&gt;=31,1+'설정'!$C$14*'설정'!$E$31,1)/$D46)&lt;1,('설정'!$C$31*IF($A46&gt;=31,1+'설정'!$C$14*'설정'!$E$31,1)/$D46)^(-'설정'!$C$6),('설정'!$C$31*IF($A46&gt;=31,1+'설정'!$C$14*'설정'!$E$31,1)/$D46)^(-'설정'!$C$7))&gt;('설정'!$C$4+'설정'!$F$31),"실패",ROUND($E46*'설정'!$C$5*IF(('설정'!$C$31*IF($A46&gt;=31,1+'설정'!$C$14*'설정'!$E$31,1)/$D46)&lt;1,('설정'!$C$31*IF($A46&gt;=31,1+'설정'!$C$14*'설정'!$E$31,1)/$D46)^(-'설정'!$C$6),('설정'!$C$31*IF($A46&gt;=31,1+'설정'!$C$14*'설정'!$E$31,1)/$D46)^(-'설정'!$C$7)),0))</f>
        <v/>
      </c>
      <c r="R46" s="8">
        <f>IF($E46*'설정'!$C$5*IF(('설정'!$C$32*IF($A46&gt;=31,1+'설정'!$C$14*'설정'!$E$32,1)/$D46)&lt;1,('설정'!$C$32*IF($A46&gt;=31,1+'설정'!$C$14*'설정'!$E$32,1)/$D46)^(-'설정'!$C$6),('설정'!$C$32*IF($A46&gt;=31,1+'설정'!$C$14*'설정'!$E$32,1)/$D46)^(-'설정'!$C$7))&gt;('설정'!$C$4+'설정'!$F$32),"실패",ROUND($E46*'설정'!$C$5*IF(('설정'!$C$32*IF($A46&gt;=31,1+'설정'!$C$14*'설정'!$E$32,1)/$D46)&lt;1,('설정'!$C$32*IF($A46&gt;=31,1+'설정'!$C$14*'설정'!$E$32,1)/$D46)^(-'설정'!$C$6),('설정'!$C$32*IF($A46&gt;=31,1+'설정'!$C$14*'설정'!$E$32,1)/$D46)^(-'설정'!$C$7)),0))</f>
        <v/>
      </c>
      <c r="S46" s="8">
        <f>IF($E46*'설정'!$C$5*IF(('설정'!$C$33*IF($A46&gt;=31,1+'설정'!$C$14*'설정'!$E$33,1)/$D46)&lt;1,('설정'!$C$33*IF($A46&gt;=31,1+'설정'!$C$14*'설정'!$E$33,1)/$D46)^(-'설정'!$C$6),('설정'!$C$33*IF($A46&gt;=31,1+'설정'!$C$14*'설정'!$E$33,1)/$D46)^(-'설정'!$C$7))&gt;('설정'!$C$4+'설정'!$F$33),"실패",ROUND($E46*'설정'!$C$5*IF(('설정'!$C$33*IF($A46&gt;=31,1+'설정'!$C$14*'설정'!$E$33,1)/$D46)&lt;1,('설정'!$C$33*IF($A46&gt;=31,1+'설정'!$C$14*'설정'!$E$33,1)/$D46)^(-'설정'!$C$6),('설정'!$C$33*IF($A46&gt;=31,1+'설정'!$C$14*'설정'!$E$33,1)/$D46)^(-'설정'!$C$7)),0))</f>
        <v/>
      </c>
      <c r="T46" s="8">
        <f>IF($E46*'설정'!$C$5*IF(('설정'!$C$34*IF($A46&gt;=31,1+'설정'!$C$14*'설정'!$E$34,1)/$D46)&lt;1,('설정'!$C$34*IF($A46&gt;=31,1+'설정'!$C$14*'설정'!$E$34,1)/$D46)^(-'설정'!$C$6),('설정'!$C$34*IF($A46&gt;=31,1+'설정'!$C$14*'설정'!$E$34,1)/$D46)^(-'설정'!$C$7))&gt;('설정'!$C$4+'설정'!$F$34),"실패",ROUND($E46*'설정'!$C$5*IF(('설정'!$C$34*IF($A46&gt;=31,1+'설정'!$C$14*'설정'!$E$34,1)/$D46)&lt;1,('설정'!$C$34*IF($A46&gt;=31,1+'설정'!$C$14*'설정'!$E$34,1)/$D46)^(-'설정'!$C$6),('설정'!$C$34*IF($A46&gt;=31,1+'설정'!$C$14*'설정'!$E$34,1)/$D46)^(-'설정'!$C$7)),0))</f>
        <v/>
      </c>
      <c r="U46" s="8">
        <f>IF($E46*'설정'!$C$5*IF(('설정'!$C$35*IF($A46&gt;=31,1+'설정'!$C$14*'설정'!$E$35,1)/$D46)&lt;1,('설정'!$C$35*IF($A46&gt;=31,1+'설정'!$C$14*'설정'!$E$35,1)/$D46)^(-'설정'!$C$6),('설정'!$C$35*IF($A46&gt;=31,1+'설정'!$C$14*'설정'!$E$35,1)/$D46)^(-'설정'!$C$7))&gt;('설정'!$C$4+'설정'!$F$35),"실패",ROUND($E46*'설정'!$C$5*IF(('설정'!$C$35*IF($A46&gt;=31,1+'설정'!$C$14*'설정'!$E$35,1)/$D46)&lt;1,('설정'!$C$35*IF($A46&gt;=31,1+'설정'!$C$14*'설정'!$E$35,1)/$D46)^(-'설정'!$C$6),('설정'!$C$35*IF($A46&gt;=31,1+'설정'!$C$14*'설정'!$E$35,1)/$D46)^(-'설정'!$C$7)),0))</f>
        <v/>
      </c>
      <c r="V46" s="8">
        <f>IF($E46*'설정'!$C$5*IF(('설정'!$C$36*IF($A46&gt;=31,1+'설정'!$C$14*'설정'!$E$36,1)/$D46)&lt;1,('설정'!$C$36*IF($A46&gt;=31,1+'설정'!$C$14*'설정'!$E$36,1)/$D46)^(-'설정'!$C$6),('설정'!$C$36*IF($A46&gt;=31,1+'설정'!$C$14*'설정'!$E$36,1)/$D46)^(-'설정'!$C$7))&gt;('설정'!$C$4+'설정'!$F$36),"실패",ROUND($E46*'설정'!$C$5*IF(('설정'!$C$36*IF($A46&gt;=31,1+'설정'!$C$14*'설정'!$E$36,1)/$D46)&lt;1,('설정'!$C$36*IF($A46&gt;=31,1+'설정'!$C$14*'설정'!$E$36,1)/$D46)^(-'설정'!$C$6),('설정'!$C$36*IF($A46&gt;=31,1+'설정'!$C$14*'설정'!$E$36,1)/$D46)^(-'설정'!$C$7)),0))</f>
        <v/>
      </c>
      <c r="W46" s="8">
        <f>IF($E46*'설정'!$C$5*IF(('설정'!$C$37*IF($A46&gt;=31,1+'설정'!$C$14*'설정'!$E$37,1)/$D46)&lt;1,('설정'!$C$37*IF($A46&gt;=31,1+'설정'!$C$14*'설정'!$E$37,1)/$D46)^(-'설정'!$C$6),('설정'!$C$37*IF($A46&gt;=31,1+'설정'!$C$14*'설정'!$E$37,1)/$D46)^(-'설정'!$C$7))&gt;('설정'!$C$4+'설정'!$F$37),"실패",ROUND($E46*'설정'!$C$5*IF(('설정'!$C$37*IF($A46&gt;=31,1+'설정'!$C$14*'설정'!$E$37,1)/$D46)&lt;1,('설정'!$C$37*IF($A46&gt;=31,1+'설정'!$C$14*'설정'!$E$37,1)/$D46)^(-'설정'!$C$6),('설정'!$C$37*IF($A46&gt;=31,1+'설정'!$C$14*'설정'!$E$37,1)/$D46)^(-'설정'!$C$7)),0))</f>
        <v/>
      </c>
    </row>
    <row r="47">
      <c r="A47" t="n">
        <v>45</v>
      </c>
      <c r="B47" t="inlineStr">
        <is>
          <t>어려움</t>
        </is>
      </c>
      <c r="C47" t="inlineStr">
        <is>
          <t>보스</t>
        </is>
      </c>
      <c r="D47" s="6" t="n">
        <v>1120000</v>
      </c>
      <c r="E47" t="n">
        <v>90</v>
      </c>
      <c r="F47" s="6" t="n">
        <v>22400</v>
      </c>
      <c r="G47" t="n">
        <v>41</v>
      </c>
      <c r="H47" s="8">
        <f>IF($E47*'설정'!$C$5*IF(('설정'!$C$22*IF($A47&gt;=31,1+'설정'!$C$14*'설정'!$E$22,1)/$D47)&lt;1,('설정'!$C$22*IF($A47&gt;=31,1+'설정'!$C$14*'설정'!$E$22,1)/$D47)^(-'설정'!$C$6),('설정'!$C$22*IF($A47&gt;=31,1+'설정'!$C$14*'설정'!$E$22,1)/$D47)^(-'설정'!$C$7))&gt;('설정'!$C$4+'설정'!$F$22+'설정'!$G$22),"실패",ROUND($E47*'설정'!$C$5*IF(('설정'!$C$22*IF($A47&gt;=31,1+'설정'!$C$14*'설정'!$E$22,1)/$D47)&lt;1,('설정'!$C$22*IF($A47&gt;=31,1+'설정'!$C$14*'설정'!$E$22,1)/$D47)^(-'설정'!$C$6),('설정'!$C$22*IF($A47&gt;=31,1+'설정'!$C$14*'설정'!$E$22,1)/$D47)^(-'설정'!$C$7)),0))</f>
        <v/>
      </c>
      <c r="I47" s="8">
        <f>IF($E47*'설정'!$C$5*IF(('설정'!$C$23*IF($A47&gt;=31,1+'설정'!$C$14*'설정'!$E$23,1)/$D47)&lt;1,('설정'!$C$23*IF($A47&gt;=31,1+'설정'!$C$14*'설정'!$E$23,1)/$D47)^(-'설정'!$C$6),('설정'!$C$23*IF($A47&gt;=31,1+'설정'!$C$14*'설정'!$E$23,1)/$D47)^(-'설정'!$C$7))&gt;('설정'!$C$4+'설정'!$F$23+'설정'!$G$23),"실패",ROUND($E47*'설정'!$C$5*IF(('설정'!$C$23*IF($A47&gt;=31,1+'설정'!$C$14*'설정'!$E$23,1)/$D47)&lt;1,('설정'!$C$23*IF($A47&gt;=31,1+'설정'!$C$14*'설정'!$E$23,1)/$D47)^(-'설정'!$C$6),('설정'!$C$23*IF($A47&gt;=31,1+'설정'!$C$14*'설정'!$E$23,1)/$D47)^(-'설정'!$C$7)),0))</f>
        <v/>
      </c>
      <c r="J47" s="8">
        <f>IF($E47*'설정'!$C$5*IF(('설정'!$C$24*IF($A47&gt;=31,1+'설정'!$C$14*'설정'!$E$24,1)/$D47)&lt;1,('설정'!$C$24*IF($A47&gt;=31,1+'설정'!$C$14*'설정'!$E$24,1)/$D47)^(-'설정'!$C$6),('설정'!$C$24*IF($A47&gt;=31,1+'설정'!$C$14*'설정'!$E$24,1)/$D47)^(-'설정'!$C$7))&gt;('설정'!$C$4+'설정'!$F$24+'설정'!$G$24),"실패",ROUND($E47*'설정'!$C$5*IF(('설정'!$C$24*IF($A47&gt;=31,1+'설정'!$C$14*'설정'!$E$24,1)/$D47)&lt;1,('설정'!$C$24*IF($A47&gt;=31,1+'설정'!$C$14*'설정'!$E$24,1)/$D47)^(-'설정'!$C$6),('설정'!$C$24*IF($A47&gt;=31,1+'설정'!$C$14*'설정'!$E$24,1)/$D47)^(-'설정'!$C$7)),0))</f>
        <v/>
      </c>
      <c r="K47" s="8">
        <f>IF($E47*'설정'!$C$5*IF(('설정'!$C$25*IF($A47&gt;=31,1+'설정'!$C$14*'설정'!$E$25,1)/$D47)&lt;1,('설정'!$C$25*IF($A47&gt;=31,1+'설정'!$C$14*'설정'!$E$25,1)/$D47)^(-'설정'!$C$6),('설정'!$C$25*IF($A47&gt;=31,1+'설정'!$C$14*'설정'!$E$25,1)/$D47)^(-'설정'!$C$7))&gt;('설정'!$C$4+'설정'!$F$25+'설정'!$G$25),"실패",ROUND($E47*'설정'!$C$5*IF(('설정'!$C$25*IF($A47&gt;=31,1+'설정'!$C$14*'설정'!$E$25,1)/$D47)&lt;1,('설정'!$C$25*IF($A47&gt;=31,1+'설정'!$C$14*'설정'!$E$25,1)/$D47)^(-'설정'!$C$6),('설정'!$C$25*IF($A47&gt;=31,1+'설정'!$C$14*'설정'!$E$25,1)/$D47)^(-'설정'!$C$7)),0))</f>
        <v/>
      </c>
      <c r="L47" s="8">
        <f>IF($E47*'설정'!$C$5*IF(('설정'!$C$26*IF($A47&gt;=31,1+'설정'!$C$14*'설정'!$E$26,1)/$D47)&lt;1,('설정'!$C$26*IF($A47&gt;=31,1+'설정'!$C$14*'설정'!$E$26,1)/$D47)^(-'설정'!$C$6),('설정'!$C$26*IF($A47&gt;=31,1+'설정'!$C$14*'설정'!$E$26,1)/$D47)^(-'설정'!$C$7))&gt;('설정'!$C$4+'설정'!$F$26+'설정'!$G$26),"실패",ROUND($E47*'설정'!$C$5*IF(('설정'!$C$26*IF($A47&gt;=31,1+'설정'!$C$14*'설정'!$E$26,1)/$D47)&lt;1,('설정'!$C$26*IF($A47&gt;=31,1+'설정'!$C$14*'설정'!$E$26,1)/$D47)^(-'설정'!$C$6),('설정'!$C$26*IF($A47&gt;=31,1+'설정'!$C$14*'설정'!$E$26,1)/$D47)^(-'설정'!$C$7)),0))</f>
        <v/>
      </c>
      <c r="M47" s="8">
        <f>IF($E47*'설정'!$C$5*IF(('설정'!$C$27*IF($A47&gt;=31,1+'설정'!$C$14*'설정'!$E$27,1)/$D47)&lt;1,('설정'!$C$27*IF($A47&gt;=31,1+'설정'!$C$14*'설정'!$E$27,1)/$D47)^(-'설정'!$C$6),('설정'!$C$27*IF($A47&gt;=31,1+'설정'!$C$14*'설정'!$E$27,1)/$D47)^(-'설정'!$C$7))&gt;('설정'!$C$4+'설정'!$F$27+'설정'!$G$27),"실패",ROUND($E47*'설정'!$C$5*IF(('설정'!$C$27*IF($A47&gt;=31,1+'설정'!$C$14*'설정'!$E$27,1)/$D47)&lt;1,('설정'!$C$27*IF($A47&gt;=31,1+'설정'!$C$14*'설정'!$E$27,1)/$D47)^(-'설정'!$C$6),('설정'!$C$27*IF($A47&gt;=31,1+'설정'!$C$14*'설정'!$E$27,1)/$D47)^(-'설정'!$C$7)),0))</f>
        <v/>
      </c>
      <c r="N47" s="8">
        <f>IF($E47*'설정'!$C$5*IF(('설정'!$C$28*IF($A47&gt;=31,1+'설정'!$C$14*'설정'!$E$28,1)/$D47)&lt;1,('설정'!$C$28*IF($A47&gt;=31,1+'설정'!$C$14*'설정'!$E$28,1)/$D47)^(-'설정'!$C$6),('설정'!$C$28*IF($A47&gt;=31,1+'설정'!$C$14*'설정'!$E$28,1)/$D47)^(-'설정'!$C$7))&gt;('설정'!$C$4+'설정'!$F$28+'설정'!$G$28),"실패",ROUND($E47*'설정'!$C$5*IF(('설정'!$C$28*IF($A47&gt;=31,1+'설정'!$C$14*'설정'!$E$28,1)/$D47)&lt;1,('설정'!$C$28*IF($A47&gt;=31,1+'설정'!$C$14*'설정'!$E$28,1)/$D47)^(-'설정'!$C$6),('설정'!$C$28*IF($A47&gt;=31,1+'설정'!$C$14*'설정'!$E$28,1)/$D47)^(-'설정'!$C$7)),0))</f>
        <v/>
      </c>
      <c r="O47" s="8">
        <f>IF($E47*'설정'!$C$5*IF(('설정'!$C$29*IF($A47&gt;=31,1+'설정'!$C$14*'설정'!$E$29,1)/$D47)&lt;1,('설정'!$C$29*IF($A47&gt;=31,1+'설정'!$C$14*'설정'!$E$29,1)/$D47)^(-'설정'!$C$6),('설정'!$C$29*IF($A47&gt;=31,1+'설정'!$C$14*'설정'!$E$29,1)/$D47)^(-'설정'!$C$7))&gt;('설정'!$C$4+'설정'!$F$29+'설정'!$G$29),"실패",ROUND($E47*'설정'!$C$5*IF(('설정'!$C$29*IF($A47&gt;=31,1+'설정'!$C$14*'설정'!$E$29,1)/$D47)&lt;1,('설정'!$C$29*IF($A47&gt;=31,1+'설정'!$C$14*'설정'!$E$29,1)/$D47)^(-'설정'!$C$6),('설정'!$C$29*IF($A47&gt;=31,1+'설정'!$C$14*'설정'!$E$29,1)/$D47)^(-'설정'!$C$7)),0))</f>
        <v/>
      </c>
      <c r="P47" s="8">
        <f>IF($E47*'설정'!$C$5*IF(('설정'!$C$30*IF($A47&gt;=31,1+'설정'!$C$14*'설정'!$E$30,1)/$D47)&lt;1,('설정'!$C$30*IF($A47&gt;=31,1+'설정'!$C$14*'설정'!$E$30,1)/$D47)^(-'설정'!$C$6),('설정'!$C$30*IF($A47&gt;=31,1+'설정'!$C$14*'설정'!$E$30,1)/$D47)^(-'설정'!$C$7))&gt;('설정'!$C$4+'설정'!$F$30+'설정'!$G$30),"실패",ROUND($E47*'설정'!$C$5*IF(('설정'!$C$30*IF($A47&gt;=31,1+'설정'!$C$14*'설정'!$E$30,1)/$D47)&lt;1,('설정'!$C$30*IF($A47&gt;=31,1+'설정'!$C$14*'설정'!$E$30,1)/$D47)^(-'설정'!$C$6),('설정'!$C$30*IF($A47&gt;=31,1+'설정'!$C$14*'설정'!$E$30,1)/$D47)^(-'설정'!$C$7)),0))</f>
        <v/>
      </c>
      <c r="Q47" s="8">
        <f>IF($E47*'설정'!$C$5*IF(('설정'!$C$31*IF($A47&gt;=31,1+'설정'!$C$14*'설정'!$E$31,1)/$D47)&lt;1,('설정'!$C$31*IF($A47&gt;=31,1+'설정'!$C$14*'설정'!$E$31,1)/$D47)^(-'설정'!$C$6),('설정'!$C$31*IF($A47&gt;=31,1+'설정'!$C$14*'설정'!$E$31,1)/$D47)^(-'설정'!$C$7))&gt;('설정'!$C$4+'설정'!$F$31+'설정'!$G$31),"실패",ROUND($E47*'설정'!$C$5*IF(('설정'!$C$31*IF($A47&gt;=31,1+'설정'!$C$14*'설정'!$E$31,1)/$D47)&lt;1,('설정'!$C$31*IF($A47&gt;=31,1+'설정'!$C$14*'설정'!$E$31,1)/$D47)^(-'설정'!$C$6),('설정'!$C$31*IF($A47&gt;=31,1+'설정'!$C$14*'설정'!$E$31,1)/$D47)^(-'설정'!$C$7)),0))</f>
        <v/>
      </c>
      <c r="R47" s="8">
        <f>IF($E47*'설정'!$C$5*IF(('설정'!$C$32*IF($A47&gt;=31,1+'설정'!$C$14*'설정'!$E$32,1)/$D47)&lt;1,('설정'!$C$32*IF($A47&gt;=31,1+'설정'!$C$14*'설정'!$E$32,1)/$D47)^(-'설정'!$C$6),('설정'!$C$32*IF($A47&gt;=31,1+'설정'!$C$14*'설정'!$E$32,1)/$D47)^(-'설정'!$C$7))&gt;('설정'!$C$4+'설정'!$F$32+'설정'!$G$32),"실패",ROUND($E47*'설정'!$C$5*IF(('설정'!$C$32*IF($A47&gt;=31,1+'설정'!$C$14*'설정'!$E$32,1)/$D47)&lt;1,('설정'!$C$32*IF($A47&gt;=31,1+'설정'!$C$14*'설정'!$E$32,1)/$D47)^(-'설정'!$C$6),('설정'!$C$32*IF($A47&gt;=31,1+'설정'!$C$14*'설정'!$E$32,1)/$D47)^(-'설정'!$C$7)),0))</f>
        <v/>
      </c>
      <c r="S47" s="8">
        <f>IF($E47*'설정'!$C$5*IF(('설정'!$C$33*IF($A47&gt;=31,1+'설정'!$C$14*'설정'!$E$33,1)/$D47)&lt;1,('설정'!$C$33*IF($A47&gt;=31,1+'설정'!$C$14*'설정'!$E$33,1)/$D47)^(-'설정'!$C$6),('설정'!$C$33*IF($A47&gt;=31,1+'설정'!$C$14*'설정'!$E$33,1)/$D47)^(-'설정'!$C$7))&gt;('설정'!$C$4+'설정'!$F$33+'설정'!$G$33),"실패",ROUND($E47*'설정'!$C$5*IF(('설정'!$C$33*IF($A47&gt;=31,1+'설정'!$C$14*'설정'!$E$33,1)/$D47)&lt;1,('설정'!$C$33*IF($A47&gt;=31,1+'설정'!$C$14*'설정'!$E$33,1)/$D47)^(-'설정'!$C$6),('설정'!$C$33*IF($A47&gt;=31,1+'설정'!$C$14*'설정'!$E$33,1)/$D47)^(-'설정'!$C$7)),0))</f>
        <v/>
      </c>
      <c r="T47" s="8">
        <f>IF($E47*'설정'!$C$5*IF(('설정'!$C$34*IF($A47&gt;=31,1+'설정'!$C$14*'설정'!$E$34,1)/$D47)&lt;1,('설정'!$C$34*IF($A47&gt;=31,1+'설정'!$C$14*'설정'!$E$34,1)/$D47)^(-'설정'!$C$6),('설정'!$C$34*IF($A47&gt;=31,1+'설정'!$C$14*'설정'!$E$34,1)/$D47)^(-'설정'!$C$7))&gt;('설정'!$C$4+'설정'!$F$34+'설정'!$G$34),"실패",ROUND($E47*'설정'!$C$5*IF(('설정'!$C$34*IF($A47&gt;=31,1+'설정'!$C$14*'설정'!$E$34,1)/$D47)&lt;1,('설정'!$C$34*IF($A47&gt;=31,1+'설정'!$C$14*'설정'!$E$34,1)/$D47)^(-'설정'!$C$6),('설정'!$C$34*IF($A47&gt;=31,1+'설정'!$C$14*'설정'!$E$34,1)/$D47)^(-'설정'!$C$7)),0))</f>
        <v/>
      </c>
      <c r="U47" s="8">
        <f>IF($E47*'설정'!$C$5*IF(('설정'!$C$35*IF($A47&gt;=31,1+'설정'!$C$14*'설정'!$E$35,1)/$D47)&lt;1,('설정'!$C$35*IF($A47&gt;=31,1+'설정'!$C$14*'설정'!$E$35,1)/$D47)^(-'설정'!$C$6),('설정'!$C$35*IF($A47&gt;=31,1+'설정'!$C$14*'설정'!$E$35,1)/$D47)^(-'설정'!$C$7))&gt;('설정'!$C$4+'설정'!$F$35+'설정'!$G$35),"실패",ROUND($E47*'설정'!$C$5*IF(('설정'!$C$35*IF($A47&gt;=31,1+'설정'!$C$14*'설정'!$E$35,1)/$D47)&lt;1,('설정'!$C$35*IF($A47&gt;=31,1+'설정'!$C$14*'설정'!$E$35,1)/$D47)^(-'설정'!$C$6),('설정'!$C$35*IF($A47&gt;=31,1+'설정'!$C$14*'설정'!$E$35,1)/$D47)^(-'설정'!$C$7)),0))</f>
        <v/>
      </c>
      <c r="V47" s="8">
        <f>IF($E47*'설정'!$C$5*IF(('설정'!$C$36*IF($A47&gt;=31,1+'설정'!$C$14*'설정'!$E$36,1)/$D47)&lt;1,('설정'!$C$36*IF($A47&gt;=31,1+'설정'!$C$14*'설정'!$E$36,1)/$D47)^(-'설정'!$C$6),('설정'!$C$36*IF($A47&gt;=31,1+'설정'!$C$14*'설정'!$E$36,1)/$D47)^(-'설정'!$C$7))&gt;('설정'!$C$4+'설정'!$F$36+'설정'!$G$36),"실패",ROUND($E47*'설정'!$C$5*IF(('설정'!$C$36*IF($A47&gt;=31,1+'설정'!$C$14*'설정'!$E$36,1)/$D47)&lt;1,('설정'!$C$36*IF($A47&gt;=31,1+'설정'!$C$14*'설정'!$E$36,1)/$D47)^(-'설정'!$C$6),('설정'!$C$36*IF($A47&gt;=31,1+'설정'!$C$14*'설정'!$E$36,1)/$D47)^(-'설정'!$C$7)),0))</f>
        <v/>
      </c>
      <c r="W47" s="8">
        <f>IF($E47*'설정'!$C$5*IF(('설정'!$C$37*IF($A47&gt;=31,1+'설정'!$C$14*'설정'!$E$37,1)/$D47)&lt;1,('설정'!$C$37*IF($A47&gt;=31,1+'설정'!$C$14*'설정'!$E$37,1)/$D47)^(-'설정'!$C$6),('설정'!$C$37*IF($A47&gt;=31,1+'설정'!$C$14*'설정'!$E$37,1)/$D47)^(-'설정'!$C$7))&gt;('설정'!$C$4+'설정'!$F$37+'설정'!$G$37),"실패",ROUND($E47*'설정'!$C$5*IF(('설정'!$C$37*IF($A47&gt;=31,1+'설정'!$C$14*'설정'!$E$37,1)/$D47)&lt;1,('설정'!$C$37*IF($A47&gt;=31,1+'설정'!$C$14*'설정'!$E$37,1)/$D47)^(-'설정'!$C$6),('설정'!$C$37*IF($A47&gt;=31,1+'설정'!$C$14*'설정'!$E$37,1)/$D47)^(-'설정'!$C$7)),0))</f>
        <v/>
      </c>
    </row>
    <row r="48">
      <c r="A48" t="n">
        <v>46</v>
      </c>
      <c r="B48" t="inlineStr">
        <is>
          <t>보통</t>
        </is>
      </c>
      <c r="C48" t="inlineStr"/>
      <c r="D48" s="6" t="n">
        <v>1120000</v>
      </c>
      <c r="E48" t="n">
        <v>72</v>
      </c>
      <c r="F48" s="6" t="n">
        <v>22400</v>
      </c>
      <c r="G48" t="n">
        <v>42</v>
      </c>
      <c r="H48" s="8">
        <f>IF($E48*'설정'!$C$5*IF(('설정'!$C$22*IF($A48&gt;=31,1+'설정'!$C$14*'설정'!$E$22,1)/$D48)&lt;1,('설정'!$C$22*IF($A48&gt;=31,1+'설정'!$C$14*'설정'!$E$22,1)/$D48)^(-'설정'!$C$6),('설정'!$C$22*IF($A48&gt;=31,1+'설정'!$C$14*'설정'!$E$22,1)/$D48)^(-'설정'!$C$7))&gt;('설정'!$C$4+'설정'!$F$22),"실패",ROUND($E48*'설정'!$C$5*IF(('설정'!$C$22*IF($A48&gt;=31,1+'설정'!$C$14*'설정'!$E$22,1)/$D48)&lt;1,('설정'!$C$22*IF($A48&gt;=31,1+'설정'!$C$14*'설정'!$E$22,1)/$D48)^(-'설정'!$C$6),('설정'!$C$22*IF($A48&gt;=31,1+'설정'!$C$14*'설정'!$E$22,1)/$D48)^(-'설정'!$C$7)),0))</f>
        <v/>
      </c>
      <c r="I48" s="8">
        <f>IF($E48*'설정'!$C$5*IF(('설정'!$C$23*IF($A48&gt;=31,1+'설정'!$C$14*'설정'!$E$23,1)/$D48)&lt;1,('설정'!$C$23*IF($A48&gt;=31,1+'설정'!$C$14*'설정'!$E$23,1)/$D48)^(-'설정'!$C$6),('설정'!$C$23*IF($A48&gt;=31,1+'설정'!$C$14*'설정'!$E$23,1)/$D48)^(-'설정'!$C$7))&gt;('설정'!$C$4+'설정'!$F$23),"실패",ROUND($E48*'설정'!$C$5*IF(('설정'!$C$23*IF($A48&gt;=31,1+'설정'!$C$14*'설정'!$E$23,1)/$D48)&lt;1,('설정'!$C$23*IF($A48&gt;=31,1+'설정'!$C$14*'설정'!$E$23,1)/$D48)^(-'설정'!$C$6),('설정'!$C$23*IF($A48&gt;=31,1+'설정'!$C$14*'설정'!$E$23,1)/$D48)^(-'설정'!$C$7)),0))</f>
        <v/>
      </c>
      <c r="J48" s="8">
        <f>IF($E48*'설정'!$C$5*IF(('설정'!$C$24*IF($A48&gt;=31,1+'설정'!$C$14*'설정'!$E$24,1)/$D48)&lt;1,('설정'!$C$24*IF($A48&gt;=31,1+'설정'!$C$14*'설정'!$E$24,1)/$D48)^(-'설정'!$C$6),('설정'!$C$24*IF($A48&gt;=31,1+'설정'!$C$14*'설정'!$E$24,1)/$D48)^(-'설정'!$C$7))&gt;('설정'!$C$4+'설정'!$F$24),"실패",ROUND($E48*'설정'!$C$5*IF(('설정'!$C$24*IF($A48&gt;=31,1+'설정'!$C$14*'설정'!$E$24,1)/$D48)&lt;1,('설정'!$C$24*IF($A48&gt;=31,1+'설정'!$C$14*'설정'!$E$24,1)/$D48)^(-'설정'!$C$6),('설정'!$C$24*IF($A48&gt;=31,1+'설정'!$C$14*'설정'!$E$24,1)/$D48)^(-'설정'!$C$7)),0))</f>
        <v/>
      </c>
      <c r="K48" s="8">
        <f>IF($E48*'설정'!$C$5*IF(('설정'!$C$25*IF($A48&gt;=31,1+'설정'!$C$14*'설정'!$E$25,1)/$D48)&lt;1,('설정'!$C$25*IF($A48&gt;=31,1+'설정'!$C$14*'설정'!$E$25,1)/$D48)^(-'설정'!$C$6),('설정'!$C$25*IF($A48&gt;=31,1+'설정'!$C$14*'설정'!$E$25,1)/$D48)^(-'설정'!$C$7))&gt;('설정'!$C$4+'설정'!$F$25),"실패",ROUND($E48*'설정'!$C$5*IF(('설정'!$C$25*IF($A48&gt;=31,1+'설정'!$C$14*'설정'!$E$25,1)/$D48)&lt;1,('설정'!$C$25*IF($A48&gt;=31,1+'설정'!$C$14*'설정'!$E$25,1)/$D48)^(-'설정'!$C$6),('설정'!$C$25*IF($A48&gt;=31,1+'설정'!$C$14*'설정'!$E$25,1)/$D48)^(-'설정'!$C$7)),0))</f>
        <v/>
      </c>
      <c r="L48" s="8">
        <f>IF($E48*'설정'!$C$5*IF(('설정'!$C$26*IF($A48&gt;=31,1+'설정'!$C$14*'설정'!$E$26,1)/$D48)&lt;1,('설정'!$C$26*IF($A48&gt;=31,1+'설정'!$C$14*'설정'!$E$26,1)/$D48)^(-'설정'!$C$6),('설정'!$C$26*IF($A48&gt;=31,1+'설정'!$C$14*'설정'!$E$26,1)/$D48)^(-'설정'!$C$7))&gt;('설정'!$C$4+'설정'!$F$26),"실패",ROUND($E48*'설정'!$C$5*IF(('설정'!$C$26*IF($A48&gt;=31,1+'설정'!$C$14*'설정'!$E$26,1)/$D48)&lt;1,('설정'!$C$26*IF($A48&gt;=31,1+'설정'!$C$14*'설정'!$E$26,1)/$D48)^(-'설정'!$C$6),('설정'!$C$26*IF($A48&gt;=31,1+'설정'!$C$14*'설정'!$E$26,1)/$D48)^(-'설정'!$C$7)),0))</f>
        <v/>
      </c>
      <c r="M48" s="8">
        <f>IF($E48*'설정'!$C$5*IF(('설정'!$C$27*IF($A48&gt;=31,1+'설정'!$C$14*'설정'!$E$27,1)/$D48)&lt;1,('설정'!$C$27*IF($A48&gt;=31,1+'설정'!$C$14*'설정'!$E$27,1)/$D48)^(-'설정'!$C$6),('설정'!$C$27*IF($A48&gt;=31,1+'설정'!$C$14*'설정'!$E$27,1)/$D48)^(-'설정'!$C$7))&gt;('설정'!$C$4+'설정'!$F$27),"실패",ROUND($E48*'설정'!$C$5*IF(('설정'!$C$27*IF($A48&gt;=31,1+'설정'!$C$14*'설정'!$E$27,1)/$D48)&lt;1,('설정'!$C$27*IF($A48&gt;=31,1+'설정'!$C$14*'설정'!$E$27,1)/$D48)^(-'설정'!$C$6),('설정'!$C$27*IF($A48&gt;=31,1+'설정'!$C$14*'설정'!$E$27,1)/$D48)^(-'설정'!$C$7)),0))</f>
        <v/>
      </c>
      <c r="N48" s="8">
        <f>IF($E48*'설정'!$C$5*IF(('설정'!$C$28*IF($A48&gt;=31,1+'설정'!$C$14*'설정'!$E$28,1)/$D48)&lt;1,('설정'!$C$28*IF($A48&gt;=31,1+'설정'!$C$14*'설정'!$E$28,1)/$D48)^(-'설정'!$C$6),('설정'!$C$28*IF($A48&gt;=31,1+'설정'!$C$14*'설정'!$E$28,1)/$D48)^(-'설정'!$C$7))&gt;('설정'!$C$4+'설정'!$F$28),"실패",ROUND($E48*'설정'!$C$5*IF(('설정'!$C$28*IF($A48&gt;=31,1+'설정'!$C$14*'설정'!$E$28,1)/$D48)&lt;1,('설정'!$C$28*IF($A48&gt;=31,1+'설정'!$C$14*'설정'!$E$28,1)/$D48)^(-'설정'!$C$6),('설정'!$C$28*IF($A48&gt;=31,1+'설정'!$C$14*'설정'!$E$28,1)/$D48)^(-'설정'!$C$7)),0))</f>
        <v/>
      </c>
      <c r="O48" s="8">
        <f>IF($E48*'설정'!$C$5*IF(('설정'!$C$29*IF($A48&gt;=31,1+'설정'!$C$14*'설정'!$E$29,1)/$D48)&lt;1,('설정'!$C$29*IF($A48&gt;=31,1+'설정'!$C$14*'설정'!$E$29,1)/$D48)^(-'설정'!$C$6),('설정'!$C$29*IF($A48&gt;=31,1+'설정'!$C$14*'설정'!$E$29,1)/$D48)^(-'설정'!$C$7))&gt;('설정'!$C$4+'설정'!$F$29),"실패",ROUND($E48*'설정'!$C$5*IF(('설정'!$C$29*IF($A48&gt;=31,1+'설정'!$C$14*'설정'!$E$29,1)/$D48)&lt;1,('설정'!$C$29*IF($A48&gt;=31,1+'설정'!$C$14*'설정'!$E$29,1)/$D48)^(-'설정'!$C$6),('설정'!$C$29*IF($A48&gt;=31,1+'설정'!$C$14*'설정'!$E$29,1)/$D48)^(-'설정'!$C$7)),0))</f>
        <v/>
      </c>
      <c r="P48" s="8">
        <f>IF($E48*'설정'!$C$5*IF(('설정'!$C$30*IF($A48&gt;=31,1+'설정'!$C$14*'설정'!$E$30,1)/$D48)&lt;1,('설정'!$C$30*IF($A48&gt;=31,1+'설정'!$C$14*'설정'!$E$30,1)/$D48)^(-'설정'!$C$6),('설정'!$C$30*IF($A48&gt;=31,1+'설정'!$C$14*'설정'!$E$30,1)/$D48)^(-'설정'!$C$7))&gt;('설정'!$C$4+'설정'!$F$30),"실패",ROUND($E48*'설정'!$C$5*IF(('설정'!$C$30*IF($A48&gt;=31,1+'설정'!$C$14*'설정'!$E$30,1)/$D48)&lt;1,('설정'!$C$30*IF($A48&gt;=31,1+'설정'!$C$14*'설정'!$E$30,1)/$D48)^(-'설정'!$C$6),('설정'!$C$30*IF($A48&gt;=31,1+'설정'!$C$14*'설정'!$E$30,1)/$D48)^(-'설정'!$C$7)),0))</f>
        <v/>
      </c>
      <c r="Q48" s="8">
        <f>IF($E48*'설정'!$C$5*IF(('설정'!$C$31*IF($A48&gt;=31,1+'설정'!$C$14*'설정'!$E$31,1)/$D48)&lt;1,('설정'!$C$31*IF($A48&gt;=31,1+'설정'!$C$14*'설정'!$E$31,1)/$D48)^(-'설정'!$C$6),('설정'!$C$31*IF($A48&gt;=31,1+'설정'!$C$14*'설정'!$E$31,1)/$D48)^(-'설정'!$C$7))&gt;('설정'!$C$4+'설정'!$F$31),"실패",ROUND($E48*'설정'!$C$5*IF(('설정'!$C$31*IF($A48&gt;=31,1+'설정'!$C$14*'설정'!$E$31,1)/$D48)&lt;1,('설정'!$C$31*IF($A48&gt;=31,1+'설정'!$C$14*'설정'!$E$31,1)/$D48)^(-'설정'!$C$6),('설정'!$C$31*IF($A48&gt;=31,1+'설정'!$C$14*'설정'!$E$31,1)/$D48)^(-'설정'!$C$7)),0))</f>
        <v/>
      </c>
      <c r="R48" s="8">
        <f>IF($E48*'설정'!$C$5*IF(('설정'!$C$32*IF($A48&gt;=31,1+'설정'!$C$14*'설정'!$E$32,1)/$D48)&lt;1,('설정'!$C$32*IF($A48&gt;=31,1+'설정'!$C$14*'설정'!$E$32,1)/$D48)^(-'설정'!$C$6),('설정'!$C$32*IF($A48&gt;=31,1+'설정'!$C$14*'설정'!$E$32,1)/$D48)^(-'설정'!$C$7))&gt;('설정'!$C$4+'설정'!$F$32),"실패",ROUND($E48*'설정'!$C$5*IF(('설정'!$C$32*IF($A48&gt;=31,1+'설정'!$C$14*'설정'!$E$32,1)/$D48)&lt;1,('설정'!$C$32*IF($A48&gt;=31,1+'설정'!$C$14*'설정'!$E$32,1)/$D48)^(-'설정'!$C$6),('설정'!$C$32*IF($A48&gt;=31,1+'설정'!$C$14*'설정'!$E$32,1)/$D48)^(-'설정'!$C$7)),0))</f>
        <v/>
      </c>
      <c r="S48" s="8">
        <f>IF($E48*'설정'!$C$5*IF(('설정'!$C$33*IF($A48&gt;=31,1+'설정'!$C$14*'설정'!$E$33,1)/$D48)&lt;1,('설정'!$C$33*IF($A48&gt;=31,1+'설정'!$C$14*'설정'!$E$33,1)/$D48)^(-'설정'!$C$6),('설정'!$C$33*IF($A48&gt;=31,1+'설정'!$C$14*'설정'!$E$33,1)/$D48)^(-'설정'!$C$7))&gt;('설정'!$C$4+'설정'!$F$33),"실패",ROUND($E48*'설정'!$C$5*IF(('설정'!$C$33*IF($A48&gt;=31,1+'설정'!$C$14*'설정'!$E$33,1)/$D48)&lt;1,('설정'!$C$33*IF($A48&gt;=31,1+'설정'!$C$14*'설정'!$E$33,1)/$D48)^(-'설정'!$C$6),('설정'!$C$33*IF($A48&gt;=31,1+'설정'!$C$14*'설정'!$E$33,1)/$D48)^(-'설정'!$C$7)),0))</f>
        <v/>
      </c>
      <c r="T48" s="8">
        <f>IF($E48*'설정'!$C$5*IF(('설정'!$C$34*IF($A48&gt;=31,1+'설정'!$C$14*'설정'!$E$34,1)/$D48)&lt;1,('설정'!$C$34*IF($A48&gt;=31,1+'설정'!$C$14*'설정'!$E$34,1)/$D48)^(-'설정'!$C$6),('설정'!$C$34*IF($A48&gt;=31,1+'설정'!$C$14*'설정'!$E$34,1)/$D48)^(-'설정'!$C$7))&gt;('설정'!$C$4+'설정'!$F$34),"실패",ROUND($E48*'설정'!$C$5*IF(('설정'!$C$34*IF($A48&gt;=31,1+'설정'!$C$14*'설정'!$E$34,1)/$D48)&lt;1,('설정'!$C$34*IF($A48&gt;=31,1+'설정'!$C$14*'설정'!$E$34,1)/$D48)^(-'설정'!$C$6),('설정'!$C$34*IF($A48&gt;=31,1+'설정'!$C$14*'설정'!$E$34,1)/$D48)^(-'설정'!$C$7)),0))</f>
        <v/>
      </c>
      <c r="U48" s="8">
        <f>IF($E48*'설정'!$C$5*IF(('설정'!$C$35*IF($A48&gt;=31,1+'설정'!$C$14*'설정'!$E$35,1)/$D48)&lt;1,('설정'!$C$35*IF($A48&gt;=31,1+'설정'!$C$14*'설정'!$E$35,1)/$D48)^(-'설정'!$C$6),('설정'!$C$35*IF($A48&gt;=31,1+'설정'!$C$14*'설정'!$E$35,1)/$D48)^(-'설정'!$C$7))&gt;('설정'!$C$4+'설정'!$F$35),"실패",ROUND($E48*'설정'!$C$5*IF(('설정'!$C$35*IF($A48&gt;=31,1+'설정'!$C$14*'설정'!$E$35,1)/$D48)&lt;1,('설정'!$C$35*IF($A48&gt;=31,1+'설정'!$C$14*'설정'!$E$35,1)/$D48)^(-'설정'!$C$6),('설정'!$C$35*IF($A48&gt;=31,1+'설정'!$C$14*'설정'!$E$35,1)/$D48)^(-'설정'!$C$7)),0))</f>
        <v/>
      </c>
      <c r="V48" s="8">
        <f>IF($E48*'설정'!$C$5*IF(('설정'!$C$36*IF($A48&gt;=31,1+'설정'!$C$14*'설정'!$E$36,1)/$D48)&lt;1,('설정'!$C$36*IF($A48&gt;=31,1+'설정'!$C$14*'설정'!$E$36,1)/$D48)^(-'설정'!$C$6),('설정'!$C$36*IF($A48&gt;=31,1+'설정'!$C$14*'설정'!$E$36,1)/$D48)^(-'설정'!$C$7))&gt;('설정'!$C$4+'설정'!$F$36),"실패",ROUND($E48*'설정'!$C$5*IF(('설정'!$C$36*IF($A48&gt;=31,1+'설정'!$C$14*'설정'!$E$36,1)/$D48)&lt;1,('설정'!$C$36*IF($A48&gt;=31,1+'설정'!$C$14*'설정'!$E$36,1)/$D48)^(-'설정'!$C$6),('설정'!$C$36*IF($A48&gt;=31,1+'설정'!$C$14*'설정'!$E$36,1)/$D48)^(-'설정'!$C$7)),0))</f>
        <v/>
      </c>
      <c r="W48" s="8">
        <f>IF($E48*'설정'!$C$5*IF(('설정'!$C$37*IF($A48&gt;=31,1+'설정'!$C$14*'설정'!$E$37,1)/$D48)&lt;1,('설정'!$C$37*IF($A48&gt;=31,1+'설정'!$C$14*'설정'!$E$37,1)/$D48)^(-'설정'!$C$6),('설정'!$C$37*IF($A48&gt;=31,1+'설정'!$C$14*'설정'!$E$37,1)/$D48)^(-'설정'!$C$7))&gt;('설정'!$C$4+'설정'!$F$37),"실패",ROUND($E48*'설정'!$C$5*IF(('설정'!$C$37*IF($A48&gt;=31,1+'설정'!$C$14*'설정'!$E$37,1)/$D48)&lt;1,('설정'!$C$37*IF($A48&gt;=31,1+'설정'!$C$14*'설정'!$E$37,1)/$D48)^(-'설정'!$C$6),('설정'!$C$37*IF($A48&gt;=31,1+'설정'!$C$14*'설정'!$E$37,1)/$D48)^(-'설정'!$C$7)),0))</f>
        <v/>
      </c>
    </row>
    <row r="49">
      <c r="A49" t="n">
        <v>47</v>
      </c>
      <c r="B49" t="inlineStr">
        <is>
          <t>보통</t>
        </is>
      </c>
      <c r="C49" t="inlineStr"/>
      <c r="D49" s="6" t="n">
        <v>1290000</v>
      </c>
      <c r="E49" t="n">
        <v>72</v>
      </c>
      <c r="F49" s="6" t="n">
        <v>25700</v>
      </c>
      <c r="G49" t="n">
        <v>43</v>
      </c>
      <c r="H49" s="8">
        <f>IF($E49*'설정'!$C$5*IF(('설정'!$C$22*IF($A49&gt;=31,1+'설정'!$C$14*'설정'!$E$22,1)/$D49)&lt;1,('설정'!$C$22*IF($A49&gt;=31,1+'설정'!$C$14*'설정'!$E$22,1)/$D49)^(-'설정'!$C$6),('설정'!$C$22*IF($A49&gt;=31,1+'설정'!$C$14*'설정'!$E$22,1)/$D49)^(-'설정'!$C$7))&gt;('설정'!$C$4+'설정'!$F$22),"실패",ROUND($E49*'설정'!$C$5*IF(('설정'!$C$22*IF($A49&gt;=31,1+'설정'!$C$14*'설정'!$E$22,1)/$D49)&lt;1,('설정'!$C$22*IF($A49&gt;=31,1+'설정'!$C$14*'설정'!$E$22,1)/$D49)^(-'설정'!$C$6),('설정'!$C$22*IF($A49&gt;=31,1+'설정'!$C$14*'설정'!$E$22,1)/$D49)^(-'설정'!$C$7)),0))</f>
        <v/>
      </c>
      <c r="I49" s="8">
        <f>IF($E49*'설정'!$C$5*IF(('설정'!$C$23*IF($A49&gt;=31,1+'설정'!$C$14*'설정'!$E$23,1)/$D49)&lt;1,('설정'!$C$23*IF($A49&gt;=31,1+'설정'!$C$14*'설정'!$E$23,1)/$D49)^(-'설정'!$C$6),('설정'!$C$23*IF($A49&gt;=31,1+'설정'!$C$14*'설정'!$E$23,1)/$D49)^(-'설정'!$C$7))&gt;('설정'!$C$4+'설정'!$F$23),"실패",ROUND($E49*'설정'!$C$5*IF(('설정'!$C$23*IF($A49&gt;=31,1+'설정'!$C$14*'설정'!$E$23,1)/$D49)&lt;1,('설정'!$C$23*IF($A49&gt;=31,1+'설정'!$C$14*'설정'!$E$23,1)/$D49)^(-'설정'!$C$6),('설정'!$C$23*IF($A49&gt;=31,1+'설정'!$C$14*'설정'!$E$23,1)/$D49)^(-'설정'!$C$7)),0))</f>
        <v/>
      </c>
      <c r="J49" s="8">
        <f>IF($E49*'설정'!$C$5*IF(('설정'!$C$24*IF($A49&gt;=31,1+'설정'!$C$14*'설정'!$E$24,1)/$D49)&lt;1,('설정'!$C$24*IF($A49&gt;=31,1+'설정'!$C$14*'설정'!$E$24,1)/$D49)^(-'설정'!$C$6),('설정'!$C$24*IF($A49&gt;=31,1+'설정'!$C$14*'설정'!$E$24,1)/$D49)^(-'설정'!$C$7))&gt;('설정'!$C$4+'설정'!$F$24),"실패",ROUND($E49*'설정'!$C$5*IF(('설정'!$C$24*IF($A49&gt;=31,1+'설정'!$C$14*'설정'!$E$24,1)/$D49)&lt;1,('설정'!$C$24*IF($A49&gt;=31,1+'설정'!$C$14*'설정'!$E$24,1)/$D49)^(-'설정'!$C$6),('설정'!$C$24*IF($A49&gt;=31,1+'설정'!$C$14*'설정'!$E$24,1)/$D49)^(-'설정'!$C$7)),0))</f>
        <v/>
      </c>
      <c r="K49" s="8">
        <f>IF($E49*'설정'!$C$5*IF(('설정'!$C$25*IF($A49&gt;=31,1+'설정'!$C$14*'설정'!$E$25,1)/$D49)&lt;1,('설정'!$C$25*IF($A49&gt;=31,1+'설정'!$C$14*'설정'!$E$25,1)/$D49)^(-'설정'!$C$6),('설정'!$C$25*IF($A49&gt;=31,1+'설정'!$C$14*'설정'!$E$25,1)/$D49)^(-'설정'!$C$7))&gt;('설정'!$C$4+'설정'!$F$25),"실패",ROUND($E49*'설정'!$C$5*IF(('설정'!$C$25*IF($A49&gt;=31,1+'설정'!$C$14*'설정'!$E$25,1)/$D49)&lt;1,('설정'!$C$25*IF($A49&gt;=31,1+'설정'!$C$14*'설정'!$E$25,1)/$D49)^(-'설정'!$C$6),('설정'!$C$25*IF($A49&gt;=31,1+'설정'!$C$14*'설정'!$E$25,1)/$D49)^(-'설정'!$C$7)),0))</f>
        <v/>
      </c>
      <c r="L49" s="8">
        <f>IF($E49*'설정'!$C$5*IF(('설정'!$C$26*IF($A49&gt;=31,1+'설정'!$C$14*'설정'!$E$26,1)/$D49)&lt;1,('설정'!$C$26*IF($A49&gt;=31,1+'설정'!$C$14*'설정'!$E$26,1)/$D49)^(-'설정'!$C$6),('설정'!$C$26*IF($A49&gt;=31,1+'설정'!$C$14*'설정'!$E$26,1)/$D49)^(-'설정'!$C$7))&gt;('설정'!$C$4+'설정'!$F$26),"실패",ROUND($E49*'설정'!$C$5*IF(('설정'!$C$26*IF($A49&gt;=31,1+'설정'!$C$14*'설정'!$E$26,1)/$D49)&lt;1,('설정'!$C$26*IF($A49&gt;=31,1+'설정'!$C$14*'설정'!$E$26,1)/$D49)^(-'설정'!$C$6),('설정'!$C$26*IF($A49&gt;=31,1+'설정'!$C$14*'설정'!$E$26,1)/$D49)^(-'설정'!$C$7)),0))</f>
        <v/>
      </c>
      <c r="M49" s="8">
        <f>IF($E49*'설정'!$C$5*IF(('설정'!$C$27*IF($A49&gt;=31,1+'설정'!$C$14*'설정'!$E$27,1)/$D49)&lt;1,('설정'!$C$27*IF($A49&gt;=31,1+'설정'!$C$14*'설정'!$E$27,1)/$D49)^(-'설정'!$C$6),('설정'!$C$27*IF($A49&gt;=31,1+'설정'!$C$14*'설정'!$E$27,1)/$D49)^(-'설정'!$C$7))&gt;('설정'!$C$4+'설정'!$F$27),"실패",ROUND($E49*'설정'!$C$5*IF(('설정'!$C$27*IF($A49&gt;=31,1+'설정'!$C$14*'설정'!$E$27,1)/$D49)&lt;1,('설정'!$C$27*IF($A49&gt;=31,1+'설정'!$C$14*'설정'!$E$27,1)/$D49)^(-'설정'!$C$6),('설정'!$C$27*IF($A49&gt;=31,1+'설정'!$C$14*'설정'!$E$27,1)/$D49)^(-'설정'!$C$7)),0))</f>
        <v/>
      </c>
      <c r="N49" s="8">
        <f>IF($E49*'설정'!$C$5*IF(('설정'!$C$28*IF($A49&gt;=31,1+'설정'!$C$14*'설정'!$E$28,1)/$D49)&lt;1,('설정'!$C$28*IF($A49&gt;=31,1+'설정'!$C$14*'설정'!$E$28,1)/$D49)^(-'설정'!$C$6),('설정'!$C$28*IF($A49&gt;=31,1+'설정'!$C$14*'설정'!$E$28,1)/$D49)^(-'설정'!$C$7))&gt;('설정'!$C$4+'설정'!$F$28),"실패",ROUND($E49*'설정'!$C$5*IF(('설정'!$C$28*IF($A49&gt;=31,1+'설정'!$C$14*'설정'!$E$28,1)/$D49)&lt;1,('설정'!$C$28*IF($A49&gt;=31,1+'설정'!$C$14*'설정'!$E$28,1)/$D49)^(-'설정'!$C$6),('설정'!$C$28*IF($A49&gt;=31,1+'설정'!$C$14*'설정'!$E$28,1)/$D49)^(-'설정'!$C$7)),0))</f>
        <v/>
      </c>
      <c r="O49" s="8">
        <f>IF($E49*'설정'!$C$5*IF(('설정'!$C$29*IF($A49&gt;=31,1+'설정'!$C$14*'설정'!$E$29,1)/$D49)&lt;1,('설정'!$C$29*IF($A49&gt;=31,1+'설정'!$C$14*'설정'!$E$29,1)/$D49)^(-'설정'!$C$6),('설정'!$C$29*IF($A49&gt;=31,1+'설정'!$C$14*'설정'!$E$29,1)/$D49)^(-'설정'!$C$7))&gt;('설정'!$C$4+'설정'!$F$29),"실패",ROUND($E49*'설정'!$C$5*IF(('설정'!$C$29*IF($A49&gt;=31,1+'설정'!$C$14*'설정'!$E$29,1)/$D49)&lt;1,('설정'!$C$29*IF($A49&gt;=31,1+'설정'!$C$14*'설정'!$E$29,1)/$D49)^(-'설정'!$C$6),('설정'!$C$29*IF($A49&gt;=31,1+'설정'!$C$14*'설정'!$E$29,1)/$D49)^(-'설정'!$C$7)),0))</f>
        <v/>
      </c>
      <c r="P49" s="8">
        <f>IF($E49*'설정'!$C$5*IF(('설정'!$C$30*IF($A49&gt;=31,1+'설정'!$C$14*'설정'!$E$30,1)/$D49)&lt;1,('설정'!$C$30*IF($A49&gt;=31,1+'설정'!$C$14*'설정'!$E$30,1)/$D49)^(-'설정'!$C$6),('설정'!$C$30*IF($A49&gt;=31,1+'설정'!$C$14*'설정'!$E$30,1)/$D49)^(-'설정'!$C$7))&gt;('설정'!$C$4+'설정'!$F$30),"실패",ROUND($E49*'설정'!$C$5*IF(('설정'!$C$30*IF($A49&gt;=31,1+'설정'!$C$14*'설정'!$E$30,1)/$D49)&lt;1,('설정'!$C$30*IF($A49&gt;=31,1+'설정'!$C$14*'설정'!$E$30,1)/$D49)^(-'설정'!$C$6),('설정'!$C$30*IF($A49&gt;=31,1+'설정'!$C$14*'설정'!$E$30,1)/$D49)^(-'설정'!$C$7)),0))</f>
        <v/>
      </c>
      <c r="Q49" s="8">
        <f>IF($E49*'설정'!$C$5*IF(('설정'!$C$31*IF($A49&gt;=31,1+'설정'!$C$14*'설정'!$E$31,1)/$D49)&lt;1,('설정'!$C$31*IF($A49&gt;=31,1+'설정'!$C$14*'설정'!$E$31,1)/$D49)^(-'설정'!$C$6),('설정'!$C$31*IF($A49&gt;=31,1+'설정'!$C$14*'설정'!$E$31,1)/$D49)^(-'설정'!$C$7))&gt;('설정'!$C$4+'설정'!$F$31),"실패",ROUND($E49*'설정'!$C$5*IF(('설정'!$C$31*IF($A49&gt;=31,1+'설정'!$C$14*'설정'!$E$31,1)/$D49)&lt;1,('설정'!$C$31*IF($A49&gt;=31,1+'설정'!$C$14*'설정'!$E$31,1)/$D49)^(-'설정'!$C$6),('설정'!$C$31*IF($A49&gt;=31,1+'설정'!$C$14*'설정'!$E$31,1)/$D49)^(-'설정'!$C$7)),0))</f>
        <v/>
      </c>
      <c r="R49" s="8">
        <f>IF($E49*'설정'!$C$5*IF(('설정'!$C$32*IF($A49&gt;=31,1+'설정'!$C$14*'설정'!$E$32,1)/$D49)&lt;1,('설정'!$C$32*IF($A49&gt;=31,1+'설정'!$C$14*'설정'!$E$32,1)/$D49)^(-'설정'!$C$6),('설정'!$C$32*IF($A49&gt;=31,1+'설정'!$C$14*'설정'!$E$32,1)/$D49)^(-'설정'!$C$7))&gt;('설정'!$C$4+'설정'!$F$32),"실패",ROUND($E49*'설정'!$C$5*IF(('설정'!$C$32*IF($A49&gt;=31,1+'설정'!$C$14*'설정'!$E$32,1)/$D49)&lt;1,('설정'!$C$32*IF($A49&gt;=31,1+'설정'!$C$14*'설정'!$E$32,1)/$D49)^(-'설정'!$C$6),('설정'!$C$32*IF($A49&gt;=31,1+'설정'!$C$14*'설정'!$E$32,1)/$D49)^(-'설정'!$C$7)),0))</f>
        <v/>
      </c>
      <c r="S49" s="8">
        <f>IF($E49*'설정'!$C$5*IF(('설정'!$C$33*IF($A49&gt;=31,1+'설정'!$C$14*'설정'!$E$33,1)/$D49)&lt;1,('설정'!$C$33*IF($A49&gt;=31,1+'설정'!$C$14*'설정'!$E$33,1)/$D49)^(-'설정'!$C$6),('설정'!$C$33*IF($A49&gt;=31,1+'설정'!$C$14*'설정'!$E$33,1)/$D49)^(-'설정'!$C$7))&gt;('설정'!$C$4+'설정'!$F$33),"실패",ROUND($E49*'설정'!$C$5*IF(('설정'!$C$33*IF($A49&gt;=31,1+'설정'!$C$14*'설정'!$E$33,1)/$D49)&lt;1,('설정'!$C$33*IF($A49&gt;=31,1+'설정'!$C$14*'설정'!$E$33,1)/$D49)^(-'설정'!$C$6),('설정'!$C$33*IF($A49&gt;=31,1+'설정'!$C$14*'설정'!$E$33,1)/$D49)^(-'설정'!$C$7)),0))</f>
        <v/>
      </c>
      <c r="T49" s="8">
        <f>IF($E49*'설정'!$C$5*IF(('설정'!$C$34*IF($A49&gt;=31,1+'설정'!$C$14*'설정'!$E$34,1)/$D49)&lt;1,('설정'!$C$34*IF($A49&gt;=31,1+'설정'!$C$14*'설정'!$E$34,1)/$D49)^(-'설정'!$C$6),('설정'!$C$34*IF($A49&gt;=31,1+'설정'!$C$14*'설정'!$E$34,1)/$D49)^(-'설정'!$C$7))&gt;('설정'!$C$4+'설정'!$F$34),"실패",ROUND($E49*'설정'!$C$5*IF(('설정'!$C$34*IF($A49&gt;=31,1+'설정'!$C$14*'설정'!$E$34,1)/$D49)&lt;1,('설정'!$C$34*IF($A49&gt;=31,1+'설정'!$C$14*'설정'!$E$34,1)/$D49)^(-'설정'!$C$6),('설정'!$C$34*IF($A49&gt;=31,1+'설정'!$C$14*'설정'!$E$34,1)/$D49)^(-'설정'!$C$7)),0))</f>
        <v/>
      </c>
      <c r="U49" s="8">
        <f>IF($E49*'설정'!$C$5*IF(('설정'!$C$35*IF($A49&gt;=31,1+'설정'!$C$14*'설정'!$E$35,1)/$D49)&lt;1,('설정'!$C$35*IF($A49&gt;=31,1+'설정'!$C$14*'설정'!$E$35,1)/$D49)^(-'설정'!$C$6),('설정'!$C$35*IF($A49&gt;=31,1+'설정'!$C$14*'설정'!$E$35,1)/$D49)^(-'설정'!$C$7))&gt;('설정'!$C$4+'설정'!$F$35),"실패",ROUND($E49*'설정'!$C$5*IF(('설정'!$C$35*IF($A49&gt;=31,1+'설정'!$C$14*'설정'!$E$35,1)/$D49)&lt;1,('설정'!$C$35*IF($A49&gt;=31,1+'설정'!$C$14*'설정'!$E$35,1)/$D49)^(-'설정'!$C$6),('설정'!$C$35*IF($A49&gt;=31,1+'설정'!$C$14*'설정'!$E$35,1)/$D49)^(-'설정'!$C$7)),0))</f>
        <v/>
      </c>
      <c r="V49" s="8">
        <f>IF($E49*'설정'!$C$5*IF(('설정'!$C$36*IF($A49&gt;=31,1+'설정'!$C$14*'설정'!$E$36,1)/$D49)&lt;1,('설정'!$C$36*IF($A49&gt;=31,1+'설정'!$C$14*'설정'!$E$36,1)/$D49)^(-'설정'!$C$6),('설정'!$C$36*IF($A49&gt;=31,1+'설정'!$C$14*'설정'!$E$36,1)/$D49)^(-'설정'!$C$7))&gt;('설정'!$C$4+'설정'!$F$36),"실패",ROUND($E49*'설정'!$C$5*IF(('설정'!$C$36*IF($A49&gt;=31,1+'설정'!$C$14*'설정'!$E$36,1)/$D49)&lt;1,('설정'!$C$36*IF($A49&gt;=31,1+'설정'!$C$14*'설정'!$E$36,1)/$D49)^(-'설정'!$C$6),('설정'!$C$36*IF($A49&gt;=31,1+'설정'!$C$14*'설정'!$E$36,1)/$D49)^(-'설정'!$C$7)),0))</f>
        <v/>
      </c>
      <c r="W49" s="8">
        <f>IF($E49*'설정'!$C$5*IF(('설정'!$C$37*IF($A49&gt;=31,1+'설정'!$C$14*'설정'!$E$37,1)/$D49)&lt;1,('설정'!$C$37*IF($A49&gt;=31,1+'설정'!$C$14*'설정'!$E$37,1)/$D49)^(-'설정'!$C$6),('설정'!$C$37*IF($A49&gt;=31,1+'설정'!$C$14*'설정'!$E$37,1)/$D49)^(-'설정'!$C$7))&gt;('설정'!$C$4+'설정'!$F$37),"실패",ROUND($E49*'설정'!$C$5*IF(('설정'!$C$37*IF($A49&gt;=31,1+'설정'!$C$14*'설정'!$E$37,1)/$D49)&lt;1,('설정'!$C$37*IF($A49&gt;=31,1+'설정'!$C$14*'설정'!$E$37,1)/$D49)^(-'설정'!$C$6),('설정'!$C$37*IF($A49&gt;=31,1+'설정'!$C$14*'설정'!$E$37,1)/$D49)^(-'설정'!$C$7)),0))</f>
        <v/>
      </c>
    </row>
    <row r="50">
      <c r="A50" t="n">
        <v>48</v>
      </c>
      <c r="B50" t="inlineStr">
        <is>
          <t>보통</t>
        </is>
      </c>
      <c r="C50" t="inlineStr"/>
      <c r="D50" s="6" t="n">
        <v>1470000</v>
      </c>
      <c r="E50" t="n">
        <v>72</v>
      </c>
      <c r="F50" s="6" t="n">
        <v>29500</v>
      </c>
      <c r="G50" t="n">
        <v>44</v>
      </c>
      <c r="H50" s="8">
        <f>IF($E50*'설정'!$C$5*IF(('설정'!$C$22*IF($A50&gt;=31,1+'설정'!$C$14*'설정'!$E$22,1)/$D50)&lt;1,('설정'!$C$22*IF($A50&gt;=31,1+'설정'!$C$14*'설정'!$E$22,1)/$D50)^(-'설정'!$C$6),('설정'!$C$22*IF($A50&gt;=31,1+'설정'!$C$14*'설정'!$E$22,1)/$D50)^(-'설정'!$C$7))&gt;('설정'!$C$4+'설정'!$F$22),"실패",ROUND($E50*'설정'!$C$5*IF(('설정'!$C$22*IF($A50&gt;=31,1+'설정'!$C$14*'설정'!$E$22,1)/$D50)&lt;1,('설정'!$C$22*IF($A50&gt;=31,1+'설정'!$C$14*'설정'!$E$22,1)/$D50)^(-'설정'!$C$6),('설정'!$C$22*IF($A50&gt;=31,1+'설정'!$C$14*'설정'!$E$22,1)/$D50)^(-'설정'!$C$7)),0))</f>
        <v/>
      </c>
      <c r="I50" s="8">
        <f>IF($E50*'설정'!$C$5*IF(('설정'!$C$23*IF($A50&gt;=31,1+'설정'!$C$14*'설정'!$E$23,1)/$D50)&lt;1,('설정'!$C$23*IF($A50&gt;=31,1+'설정'!$C$14*'설정'!$E$23,1)/$D50)^(-'설정'!$C$6),('설정'!$C$23*IF($A50&gt;=31,1+'설정'!$C$14*'설정'!$E$23,1)/$D50)^(-'설정'!$C$7))&gt;('설정'!$C$4+'설정'!$F$23),"실패",ROUND($E50*'설정'!$C$5*IF(('설정'!$C$23*IF($A50&gt;=31,1+'설정'!$C$14*'설정'!$E$23,1)/$D50)&lt;1,('설정'!$C$23*IF($A50&gt;=31,1+'설정'!$C$14*'설정'!$E$23,1)/$D50)^(-'설정'!$C$6),('설정'!$C$23*IF($A50&gt;=31,1+'설정'!$C$14*'설정'!$E$23,1)/$D50)^(-'설정'!$C$7)),0))</f>
        <v/>
      </c>
      <c r="J50" s="8">
        <f>IF($E50*'설정'!$C$5*IF(('설정'!$C$24*IF($A50&gt;=31,1+'설정'!$C$14*'설정'!$E$24,1)/$D50)&lt;1,('설정'!$C$24*IF($A50&gt;=31,1+'설정'!$C$14*'설정'!$E$24,1)/$D50)^(-'설정'!$C$6),('설정'!$C$24*IF($A50&gt;=31,1+'설정'!$C$14*'설정'!$E$24,1)/$D50)^(-'설정'!$C$7))&gt;('설정'!$C$4+'설정'!$F$24),"실패",ROUND($E50*'설정'!$C$5*IF(('설정'!$C$24*IF($A50&gt;=31,1+'설정'!$C$14*'설정'!$E$24,1)/$D50)&lt;1,('설정'!$C$24*IF($A50&gt;=31,1+'설정'!$C$14*'설정'!$E$24,1)/$D50)^(-'설정'!$C$6),('설정'!$C$24*IF($A50&gt;=31,1+'설정'!$C$14*'설정'!$E$24,1)/$D50)^(-'설정'!$C$7)),0))</f>
        <v/>
      </c>
      <c r="K50" s="8">
        <f>IF($E50*'설정'!$C$5*IF(('설정'!$C$25*IF($A50&gt;=31,1+'설정'!$C$14*'설정'!$E$25,1)/$D50)&lt;1,('설정'!$C$25*IF($A50&gt;=31,1+'설정'!$C$14*'설정'!$E$25,1)/$D50)^(-'설정'!$C$6),('설정'!$C$25*IF($A50&gt;=31,1+'설정'!$C$14*'설정'!$E$25,1)/$D50)^(-'설정'!$C$7))&gt;('설정'!$C$4+'설정'!$F$25),"실패",ROUND($E50*'설정'!$C$5*IF(('설정'!$C$25*IF($A50&gt;=31,1+'설정'!$C$14*'설정'!$E$25,1)/$D50)&lt;1,('설정'!$C$25*IF($A50&gt;=31,1+'설정'!$C$14*'설정'!$E$25,1)/$D50)^(-'설정'!$C$6),('설정'!$C$25*IF($A50&gt;=31,1+'설정'!$C$14*'설정'!$E$25,1)/$D50)^(-'설정'!$C$7)),0))</f>
        <v/>
      </c>
      <c r="L50" s="8">
        <f>IF($E50*'설정'!$C$5*IF(('설정'!$C$26*IF($A50&gt;=31,1+'설정'!$C$14*'설정'!$E$26,1)/$D50)&lt;1,('설정'!$C$26*IF($A50&gt;=31,1+'설정'!$C$14*'설정'!$E$26,1)/$D50)^(-'설정'!$C$6),('설정'!$C$26*IF($A50&gt;=31,1+'설정'!$C$14*'설정'!$E$26,1)/$D50)^(-'설정'!$C$7))&gt;('설정'!$C$4+'설정'!$F$26),"실패",ROUND($E50*'설정'!$C$5*IF(('설정'!$C$26*IF($A50&gt;=31,1+'설정'!$C$14*'설정'!$E$26,1)/$D50)&lt;1,('설정'!$C$26*IF($A50&gt;=31,1+'설정'!$C$14*'설정'!$E$26,1)/$D50)^(-'설정'!$C$6),('설정'!$C$26*IF($A50&gt;=31,1+'설정'!$C$14*'설정'!$E$26,1)/$D50)^(-'설정'!$C$7)),0))</f>
        <v/>
      </c>
      <c r="M50" s="8">
        <f>IF($E50*'설정'!$C$5*IF(('설정'!$C$27*IF($A50&gt;=31,1+'설정'!$C$14*'설정'!$E$27,1)/$D50)&lt;1,('설정'!$C$27*IF($A50&gt;=31,1+'설정'!$C$14*'설정'!$E$27,1)/$D50)^(-'설정'!$C$6),('설정'!$C$27*IF($A50&gt;=31,1+'설정'!$C$14*'설정'!$E$27,1)/$D50)^(-'설정'!$C$7))&gt;('설정'!$C$4+'설정'!$F$27),"실패",ROUND($E50*'설정'!$C$5*IF(('설정'!$C$27*IF($A50&gt;=31,1+'설정'!$C$14*'설정'!$E$27,1)/$D50)&lt;1,('설정'!$C$27*IF($A50&gt;=31,1+'설정'!$C$14*'설정'!$E$27,1)/$D50)^(-'설정'!$C$6),('설정'!$C$27*IF($A50&gt;=31,1+'설정'!$C$14*'설정'!$E$27,1)/$D50)^(-'설정'!$C$7)),0))</f>
        <v/>
      </c>
      <c r="N50" s="8">
        <f>IF($E50*'설정'!$C$5*IF(('설정'!$C$28*IF($A50&gt;=31,1+'설정'!$C$14*'설정'!$E$28,1)/$D50)&lt;1,('설정'!$C$28*IF($A50&gt;=31,1+'설정'!$C$14*'설정'!$E$28,1)/$D50)^(-'설정'!$C$6),('설정'!$C$28*IF($A50&gt;=31,1+'설정'!$C$14*'설정'!$E$28,1)/$D50)^(-'설정'!$C$7))&gt;('설정'!$C$4+'설정'!$F$28),"실패",ROUND($E50*'설정'!$C$5*IF(('설정'!$C$28*IF($A50&gt;=31,1+'설정'!$C$14*'설정'!$E$28,1)/$D50)&lt;1,('설정'!$C$28*IF($A50&gt;=31,1+'설정'!$C$14*'설정'!$E$28,1)/$D50)^(-'설정'!$C$6),('설정'!$C$28*IF($A50&gt;=31,1+'설정'!$C$14*'설정'!$E$28,1)/$D50)^(-'설정'!$C$7)),0))</f>
        <v/>
      </c>
      <c r="O50" s="8">
        <f>IF($E50*'설정'!$C$5*IF(('설정'!$C$29*IF($A50&gt;=31,1+'설정'!$C$14*'설정'!$E$29,1)/$D50)&lt;1,('설정'!$C$29*IF($A50&gt;=31,1+'설정'!$C$14*'설정'!$E$29,1)/$D50)^(-'설정'!$C$6),('설정'!$C$29*IF($A50&gt;=31,1+'설정'!$C$14*'설정'!$E$29,1)/$D50)^(-'설정'!$C$7))&gt;('설정'!$C$4+'설정'!$F$29),"실패",ROUND($E50*'설정'!$C$5*IF(('설정'!$C$29*IF($A50&gt;=31,1+'설정'!$C$14*'설정'!$E$29,1)/$D50)&lt;1,('설정'!$C$29*IF($A50&gt;=31,1+'설정'!$C$14*'설정'!$E$29,1)/$D50)^(-'설정'!$C$6),('설정'!$C$29*IF($A50&gt;=31,1+'설정'!$C$14*'설정'!$E$29,1)/$D50)^(-'설정'!$C$7)),0))</f>
        <v/>
      </c>
      <c r="P50" s="8">
        <f>IF($E50*'설정'!$C$5*IF(('설정'!$C$30*IF($A50&gt;=31,1+'설정'!$C$14*'설정'!$E$30,1)/$D50)&lt;1,('설정'!$C$30*IF($A50&gt;=31,1+'설정'!$C$14*'설정'!$E$30,1)/$D50)^(-'설정'!$C$6),('설정'!$C$30*IF($A50&gt;=31,1+'설정'!$C$14*'설정'!$E$30,1)/$D50)^(-'설정'!$C$7))&gt;('설정'!$C$4+'설정'!$F$30),"실패",ROUND($E50*'설정'!$C$5*IF(('설정'!$C$30*IF($A50&gt;=31,1+'설정'!$C$14*'설정'!$E$30,1)/$D50)&lt;1,('설정'!$C$30*IF($A50&gt;=31,1+'설정'!$C$14*'설정'!$E$30,1)/$D50)^(-'설정'!$C$6),('설정'!$C$30*IF($A50&gt;=31,1+'설정'!$C$14*'설정'!$E$30,1)/$D50)^(-'설정'!$C$7)),0))</f>
        <v/>
      </c>
      <c r="Q50" s="8">
        <f>IF($E50*'설정'!$C$5*IF(('설정'!$C$31*IF($A50&gt;=31,1+'설정'!$C$14*'설정'!$E$31,1)/$D50)&lt;1,('설정'!$C$31*IF($A50&gt;=31,1+'설정'!$C$14*'설정'!$E$31,1)/$D50)^(-'설정'!$C$6),('설정'!$C$31*IF($A50&gt;=31,1+'설정'!$C$14*'설정'!$E$31,1)/$D50)^(-'설정'!$C$7))&gt;('설정'!$C$4+'설정'!$F$31),"실패",ROUND($E50*'설정'!$C$5*IF(('설정'!$C$31*IF($A50&gt;=31,1+'설정'!$C$14*'설정'!$E$31,1)/$D50)&lt;1,('설정'!$C$31*IF($A50&gt;=31,1+'설정'!$C$14*'설정'!$E$31,1)/$D50)^(-'설정'!$C$6),('설정'!$C$31*IF($A50&gt;=31,1+'설정'!$C$14*'설정'!$E$31,1)/$D50)^(-'설정'!$C$7)),0))</f>
        <v/>
      </c>
      <c r="R50" s="8">
        <f>IF($E50*'설정'!$C$5*IF(('설정'!$C$32*IF($A50&gt;=31,1+'설정'!$C$14*'설정'!$E$32,1)/$D50)&lt;1,('설정'!$C$32*IF($A50&gt;=31,1+'설정'!$C$14*'설정'!$E$32,1)/$D50)^(-'설정'!$C$6),('설정'!$C$32*IF($A50&gt;=31,1+'설정'!$C$14*'설정'!$E$32,1)/$D50)^(-'설정'!$C$7))&gt;('설정'!$C$4+'설정'!$F$32),"실패",ROUND($E50*'설정'!$C$5*IF(('설정'!$C$32*IF($A50&gt;=31,1+'설정'!$C$14*'설정'!$E$32,1)/$D50)&lt;1,('설정'!$C$32*IF($A50&gt;=31,1+'설정'!$C$14*'설정'!$E$32,1)/$D50)^(-'설정'!$C$6),('설정'!$C$32*IF($A50&gt;=31,1+'설정'!$C$14*'설정'!$E$32,1)/$D50)^(-'설정'!$C$7)),0))</f>
        <v/>
      </c>
      <c r="S50" s="8">
        <f>IF($E50*'설정'!$C$5*IF(('설정'!$C$33*IF($A50&gt;=31,1+'설정'!$C$14*'설정'!$E$33,1)/$D50)&lt;1,('설정'!$C$33*IF($A50&gt;=31,1+'설정'!$C$14*'설정'!$E$33,1)/$D50)^(-'설정'!$C$6),('설정'!$C$33*IF($A50&gt;=31,1+'설정'!$C$14*'설정'!$E$33,1)/$D50)^(-'설정'!$C$7))&gt;('설정'!$C$4+'설정'!$F$33),"실패",ROUND($E50*'설정'!$C$5*IF(('설정'!$C$33*IF($A50&gt;=31,1+'설정'!$C$14*'설정'!$E$33,1)/$D50)&lt;1,('설정'!$C$33*IF($A50&gt;=31,1+'설정'!$C$14*'설정'!$E$33,1)/$D50)^(-'설정'!$C$6),('설정'!$C$33*IF($A50&gt;=31,1+'설정'!$C$14*'설정'!$E$33,1)/$D50)^(-'설정'!$C$7)),0))</f>
        <v/>
      </c>
      <c r="T50" s="8">
        <f>IF($E50*'설정'!$C$5*IF(('설정'!$C$34*IF($A50&gt;=31,1+'설정'!$C$14*'설정'!$E$34,1)/$D50)&lt;1,('설정'!$C$34*IF($A50&gt;=31,1+'설정'!$C$14*'설정'!$E$34,1)/$D50)^(-'설정'!$C$6),('설정'!$C$34*IF($A50&gt;=31,1+'설정'!$C$14*'설정'!$E$34,1)/$D50)^(-'설정'!$C$7))&gt;('설정'!$C$4+'설정'!$F$34),"실패",ROUND($E50*'설정'!$C$5*IF(('설정'!$C$34*IF($A50&gt;=31,1+'설정'!$C$14*'설정'!$E$34,1)/$D50)&lt;1,('설정'!$C$34*IF($A50&gt;=31,1+'설정'!$C$14*'설정'!$E$34,1)/$D50)^(-'설정'!$C$6),('설정'!$C$34*IF($A50&gt;=31,1+'설정'!$C$14*'설정'!$E$34,1)/$D50)^(-'설정'!$C$7)),0))</f>
        <v/>
      </c>
      <c r="U50" s="8">
        <f>IF($E50*'설정'!$C$5*IF(('설정'!$C$35*IF($A50&gt;=31,1+'설정'!$C$14*'설정'!$E$35,1)/$D50)&lt;1,('설정'!$C$35*IF($A50&gt;=31,1+'설정'!$C$14*'설정'!$E$35,1)/$D50)^(-'설정'!$C$6),('설정'!$C$35*IF($A50&gt;=31,1+'설정'!$C$14*'설정'!$E$35,1)/$D50)^(-'설정'!$C$7))&gt;('설정'!$C$4+'설정'!$F$35),"실패",ROUND($E50*'설정'!$C$5*IF(('설정'!$C$35*IF($A50&gt;=31,1+'설정'!$C$14*'설정'!$E$35,1)/$D50)&lt;1,('설정'!$C$35*IF($A50&gt;=31,1+'설정'!$C$14*'설정'!$E$35,1)/$D50)^(-'설정'!$C$6),('설정'!$C$35*IF($A50&gt;=31,1+'설정'!$C$14*'설정'!$E$35,1)/$D50)^(-'설정'!$C$7)),0))</f>
        <v/>
      </c>
      <c r="V50" s="8">
        <f>IF($E50*'설정'!$C$5*IF(('설정'!$C$36*IF($A50&gt;=31,1+'설정'!$C$14*'설정'!$E$36,1)/$D50)&lt;1,('설정'!$C$36*IF($A50&gt;=31,1+'설정'!$C$14*'설정'!$E$36,1)/$D50)^(-'설정'!$C$6),('설정'!$C$36*IF($A50&gt;=31,1+'설정'!$C$14*'설정'!$E$36,1)/$D50)^(-'설정'!$C$7))&gt;('설정'!$C$4+'설정'!$F$36),"실패",ROUND($E50*'설정'!$C$5*IF(('설정'!$C$36*IF($A50&gt;=31,1+'설정'!$C$14*'설정'!$E$36,1)/$D50)&lt;1,('설정'!$C$36*IF($A50&gt;=31,1+'설정'!$C$14*'설정'!$E$36,1)/$D50)^(-'설정'!$C$6),('설정'!$C$36*IF($A50&gt;=31,1+'설정'!$C$14*'설정'!$E$36,1)/$D50)^(-'설정'!$C$7)),0))</f>
        <v/>
      </c>
      <c r="W50" s="8">
        <f>IF($E50*'설정'!$C$5*IF(('설정'!$C$37*IF($A50&gt;=31,1+'설정'!$C$14*'설정'!$E$37,1)/$D50)&lt;1,('설정'!$C$37*IF($A50&gt;=31,1+'설정'!$C$14*'설정'!$E$37,1)/$D50)^(-'설정'!$C$6),('설정'!$C$37*IF($A50&gt;=31,1+'설정'!$C$14*'설정'!$E$37,1)/$D50)^(-'설정'!$C$7))&gt;('설정'!$C$4+'설정'!$F$37),"실패",ROUND($E50*'설정'!$C$5*IF(('설정'!$C$37*IF($A50&gt;=31,1+'설정'!$C$14*'설정'!$E$37,1)/$D50)&lt;1,('설정'!$C$37*IF($A50&gt;=31,1+'설정'!$C$14*'설정'!$E$37,1)/$D50)^(-'설정'!$C$6),('설정'!$C$37*IF($A50&gt;=31,1+'설정'!$C$14*'설정'!$E$37,1)/$D50)^(-'설정'!$C$7)),0))</f>
        <v/>
      </c>
    </row>
    <row r="51">
      <c r="A51" t="n">
        <v>49</v>
      </c>
      <c r="B51" t="inlineStr">
        <is>
          <t>어려움</t>
        </is>
      </c>
      <c r="C51" t="inlineStr"/>
      <c r="D51" s="6" t="n">
        <v>1690000</v>
      </c>
      <c r="E51" t="n">
        <v>90</v>
      </c>
      <c r="F51" s="6" t="n">
        <v>33900</v>
      </c>
      <c r="G51" t="n">
        <v>45</v>
      </c>
      <c r="H51" s="8">
        <f>IF($E51*'설정'!$C$5*IF(('설정'!$C$22*IF($A51&gt;=31,1+'설정'!$C$14*'설정'!$E$22,1)/$D51)&lt;1,('설정'!$C$22*IF($A51&gt;=31,1+'설정'!$C$14*'설정'!$E$22,1)/$D51)^(-'설정'!$C$6),('설정'!$C$22*IF($A51&gt;=31,1+'설정'!$C$14*'설정'!$E$22,1)/$D51)^(-'설정'!$C$7))&gt;('설정'!$C$4+'설정'!$F$22),"실패",ROUND($E51*'설정'!$C$5*IF(('설정'!$C$22*IF($A51&gt;=31,1+'설정'!$C$14*'설정'!$E$22,1)/$D51)&lt;1,('설정'!$C$22*IF($A51&gt;=31,1+'설정'!$C$14*'설정'!$E$22,1)/$D51)^(-'설정'!$C$6),('설정'!$C$22*IF($A51&gt;=31,1+'설정'!$C$14*'설정'!$E$22,1)/$D51)^(-'설정'!$C$7)),0))</f>
        <v/>
      </c>
      <c r="I51" s="8">
        <f>IF($E51*'설정'!$C$5*IF(('설정'!$C$23*IF($A51&gt;=31,1+'설정'!$C$14*'설정'!$E$23,1)/$D51)&lt;1,('설정'!$C$23*IF($A51&gt;=31,1+'설정'!$C$14*'설정'!$E$23,1)/$D51)^(-'설정'!$C$6),('설정'!$C$23*IF($A51&gt;=31,1+'설정'!$C$14*'설정'!$E$23,1)/$D51)^(-'설정'!$C$7))&gt;('설정'!$C$4+'설정'!$F$23),"실패",ROUND($E51*'설정'!$C$5*IF(('설정'!$C$23*IF($A51&gt;=31,1+'설정'!$C$14*'설정'!$E$23,1)/$D51)&lt;1,('설정'!$C$23*IF($A51&gt;=31,1+'설정'!$C$14*'설정'!$E$23,1)/$D51)^(-'설정'!$C$6),('설정'!$C$23*IF($A51&gt;=31,1+'설정'!$C$14*'설정'!$E$23,1)/$D51)^(-'설정'!$C$7)),0))</f>
        <v/>
      </c>
      <c r="J51" s="8">
        <f>IF($E51*'설정'!$C$5*IF(('설정'!$C$24*IF($A51&gt;=31,1+'설정'!$C$14*'설정'!$E$24,1)/$D51)&lt;1,('설정'!$C$24*IF($A51&gt;=31,1+'설정'!$C$14*'설정'!$E$24,1)/$D51)^(-'설정'!$C$6),('설정'!$C$24*IF($A51&gt;=31,1+'설정'!$C$14*'설정'!$E$24,1)/$D51)^(-'설정'!$C$7))&gt;('설정'!$C$4+'설정'!$F$24),"실패",ROUND($E51*'설정'!$C$5*IF(('설정'!$C$24*IF($A51&gt;=31,1+'설정'!$C$14*'설정'!$E$24,1)/$D51)&lt;1,('설정'!$C$24*IF($A51&gt;=31,1+'설정'!$C$14*'설정'!$E$24,1)/$D51)^(-'설정'!$C$6),('설정'!$C$24*IF($A51&gt;=31,1+'설정'!$C$14*'설정'!$E$24,1)/$D51)^(-'설정'!$C$7)),0))</f>
        <v/>
      </c>
      <c r="K51" s="8">
        <f>IF($E51*'설정'!$C$5*IF(('설정'!$C$25*IF($A51&gt;=31,1+'설정'!$C$14*'설정'!$E$25,1)/$D51)&lt;1,('설정'!$C$25*IF($A51&gt;=31,1+'설정'!$C$14*'설정'!$E$25,1)/$D51)^(-'설정'!$C$6),('설정'!$C$25*IF($A51&gt;=31,1+'설정'!$C$14*'설정'!$E$25,1)/$D51)^(-'설정'!$C$7))&gt;('설정'!$C$4+'설정'!$F$25),"실패",ROUND($E51*'설정'!$C$5*IF(('설정'!$C$25*IF($A51&gt;=31,1+'설정'!$C$14*'설정'!$E$25,1)/$D51)&lt;1,('설정'!$C$25*IF($A51&gt;=31,1+'설정'!$C$14*'설정'!$E$25,1)/$D51)^(-'설정'!$C$6),('설정'!$C$25*IF($A51&gt;=31,1+'설정'!$C$14*'설정'!$E$25,1)/$D51)^(-'설정'!$C$7)),0))</f>
        <v/>
      </c>
      <c r="L51" s="8">
        <f>IF($E51*'설정'!$C$5*IF(('설정'!$C$26*IF($A51&gt;=31,1+'설정'!$C$14*'설정'!$E$26,1)/$D51)&lt;1,('설정'!$C$26*IF($A51&gt;=31,1+'설정'!$C$14*'설정'!$E$26,1)/$D51)^(-'설정'!$C$6),('설정'!$C$26*IF($A51&gt;=31,1+'설정'!$C$14*'설정'!$E$26,1)/$D51)^(-'설정'!$C$7))&gt;('설정'!$C$4+'설정'!$F$26),"실패",ROUND($E51*'설정'!$C$5*IF(('설정'!$C$26*IF($A51&gt;=31,1+'설정'!$C$14*'설정'!$E$26,1)/$D51)&lt;1,('설정'!$C$26*IF($A51&gt;=31,1+'설정'!$C$14*'설정'!$E$26,1)/$D51)^(-'설정'!$C$6),('설정'!$C$26*IF($A51&gt;=31,1+'설정'!$C$14*'설정'!$E$26,1)/$D51)^(-'설정'!$C$7)),0))</f>
        <v/>
      </c>
      <c r="M51" s="8">
        <f>IF($E51*'설정'!$C$5*IF(('설정'!$C$27*IF($A51&gt;=31,1+'설정'!$C$14*'설정'!$E$27,1)/$D51)&lt;1,('설정'!$C$27*IF($A51&gt;=31,1+'설정'!$C$14*'설정'!$E$27,1)/$D51)^(-'설정'!$C$6),('설정'!$C$27*IF($A51&gt;=31,1+'설정'!$C$14*'설정'!$E$27,1)/$D51)^(-'설정'!$C$7))&gt;('설정'!$C$4+'설정'!$F$27),"실패",ROUND($E51*'설정'!$C$5*IF(('설정'!$C$27*IF($A51&gt;=31,1+'설정'!$C$14*'설정'!$E$27,1)/$D51)&lt;1,('설정'!$C$27*IF($A51&gt;=31,1+'설정'!$C$14*'설정'!$E$27,1)/$D51)^(-'설정'!$C$6),('설정'!$C$27*IF($A51&gt;=31,1+'설정'!$C$14*'설정'!$E$27,1)/$D51)^(-'설정'!$C$7)),0))</f>
        <v/>
      </c>
      <c r="N51" s="8">
        <f>IF($E51*'설정'!$C$5*IF(('설정'!$C$28*IF($A51&gt;=31,1+'설정'!$C$14*'설정'!$E$28,1)/$D51)&lt;1,('설정'!$C$28*IF($A51&gt;=31,1+'설정'!$C$14*'설정'!$E$28,1)/$D51)^(-'설정'!$C$6),('설정'!$C$28*IF($A51&gt;=31,1+'설정'!$C$14*'설정'!$E$28,1)/$D51)^(-'설정'!$C$7))&gt;('설정'!$C$4+'설정'!$F$28),"실패",ROUND($E51*'설정'!$C$5*IF(('설정'!$C$28*IF($A51&gt;=31,1+'설정'!$C$14*'설정'!$E$28,1)/$D51)&lt;1,('설정'!$C$28*IF($A51&gt;=31,1+'설정'!$C$14*'설정'!$E$28,1)/$D51)^(-'설정'!$C$6),('설정'!$C$28*IF($A51&gt;=31,1+'설정'!$C$14*'설정'!$E$28,1)/$D51)^(-'설정'!$C$7)),0))</f>
        <v/>
      </c>
      <c r="O51" s="8">
        <f>IF($E51*'설정'!$C$5*IF(('설정'!$C$29*IF($A51&gt;=31,1+'설정'!$C$14*'설정'!$E$29,1)/$D51)&lt;1,('설정'!$C$29*IF($A51&gt;=31,1+'설정'!$C$14*'설정'!$E$29,1)/$D51)^(-'설정'!$C$6),('설정'!$C$29*IF($A51&gt;=31,1+'설정'!$C$14*'설정'!$E$29,1)/$D51)^(-'설정'!$C$7))&gt;('설정'!$C$4+'설정'!$F$29),"실패",ROUND($E51*'설정'!$C$5*IF(('설정'!$C$29*IF($A51&gt;=31,1+'설정'!$C$14*'설정'!$E$29,1)/$D51)&lt;1,('설정'!$C$29*IF($A51&gt;=31,1+'설정'!$C$14*'설정'!$E$29,1)/$D51)^(-'설정'!$C$6),('설정'!$C$29*IF($A51&gt;=31,1+'설정'!$C$14*'설정'!$E$29,1)/$D51)^(-'설정'!$C$7)),0))</f>
        <v/>
      </c>
      <c r="P51" s="8">
        <f>IF($E51*'설정'!$C$5*IF(('설정'!$C$30*IF($A51&gt;=31,1+'설정'!$C$14*'설정'!$E$30,1)/$D51)&lt;1,('설정'!$C$30*IF($A51&gt;=31,1+'설정'!$C$14*'설정'!$E$30,1)/$D51)^(-'설정'!$C$6),('설정'!$C$30*IF($A51&gt;=31,1+'설정'!$C$14*'설정'!$E$30,1)/$D51)^(-'설정'!$C$7))&gt;('설정'!$C$4+'설정'!$F$30),"실패",ROUND($E51*'설정'!$C$5*IF(('설정'!$C$30*IF($A51&gt;=31,1+'설정'!$C$14*'설정'!$E$30,1)/$D51)&lt;1,('설정'!$C$30*IF($A51&gt;=31,1+'설정'!$C$14*'설정'!$E$30,1)/$D51)^(-'설정'!$C$6),('설정'!$C$30*IF($A51&gt;=31,1+'설정'!$C$14*'설정'!$E$30,1)/$D51)^(-'설정'!$C$7)),0))</f>
        <v/>
      </c>
      <c r="Q51" s="8">
        <f>IF($E51*'설정'!$C$5*IF(('설정'!$C$31*IF($A51&gt;=31,1+'설정'!$C$14*'설정'!$E$31,1)/$D51)&lt;1,('설정'!$C$31*IF($A51&gt;=31,1+'설정'!$C$14*'설정'!$E$31,1)/$D51)^(-'설정'!$C$6),('설정'!$C$31*IF($A51&gt;=31,1+'설정'!$C$14*'설정'!$E$31,1)/$D51)^(-'설정'!$C$7))&gt;('설정'!$C$4+'설정'!$F$31),"실패",ROUND($E51*'설정'!$C$5*IF(('설정'!$C$31*IF($A51&gt;=31,1+'설정'!$C$14*'설정'!$E$31,1)/$D51)&lt;1,('설정'!$C$31*IF($A51&gt;=31,1+'설정'!$C$14*'설정'!$E$31,1)/$D51)^(-'설정'!$C$6),('설정'!$C$31*IF($A51&gt;=31,1+'설정'!$C$14*'설정'!$E$31,1)/$D51)^(-'설정'!$C$7)),0))</f>
        <v/>
      </c>
      <c r="R51" s="8">
        <f>IF($E51*'설정'!$C$5*IF(('설정'!$C$32*IF($A51&gt;=31,1+'설정'!$C$14*'설정'!$E$32,1)/$D51)&lt;1,('설정'!$C$32*IF($A51&gt;=31,1+'설정'!$C$14*'설정'!$E$32,1)/$D51)^(-'설정'!$C$6),('설정'!$C$32*IF($A51&gt;=31,1+'설정'!$C$14*'설정'!$E$32,1)/$D51)^(-'설정'!$C$7))&gt;('설정'!$C$4+'설정'!$F$32),"실패",ROUND($E51*'설정'!$C$5*IF(('설정'!$C$32*IF($A51&gt;=31,1+'설정'!$C$14*'설정'!$E$32,1)/$D51)&lt;1,('설정'!$C$32*IF($A51&gt;=31,1+'설정'!$C$14*'설정'!$E$32,1)/$D51)^(-'설정'!$C$6),('설정'!$C$32*IF($A51&gt;=31,1+'설정'!$C$14*'설정'!$E$32,1)/$D51)^(-'설정'!$C$7)),0))</f>
        <v/>
      </c>
      <c r="S51" s="8">
        <f>IF($E51*'설정'!$C$5*IF(('설정'!$C$33*IF($A51&gt;=31,1+'설정'!$C$14*'설정'!$E$33,1)/$D51)&lt;1,('설정'!$C$33*IF($A51&gt;=31,1+'설정'!$C$14*'설정'!$E$33,1)/$D51)^(-'설정'!$C$6),('설정'!$C$33*IF($A51&gt;=31,1+'설정'!$C$14*'설정'!$E$33,1)/$D51)^(-'설정'!$C$7))&gt;('설정'!$C$4+'설정'!$F$33),"실패",ROUND($E51*'설정'!$C$5*IF(('설정'!$C$33*IF($A51&gt;=31,1+'설정'!$C$14*'설정'!$E$33,1)/$D51)&lt;1,('설정'!$C$33*IF($A51&gt;=31,1+'설정'!$C$14*'설정'!$E$33,1)/$D51)^(-'설정'!$C$6),('설정'!$C$33*IF($A51&gt;=31,1+'설정'!$C$14*'설정'!$E$33,1)/$D51)^(-'설정'!$C$7)),0))</f>
        <v/>
      </c>
      <c r="T51" s="8">
        <f>IF($E51*'설정'!$C$5*IF(('설정'!$C$34*IF($A51&gt;=31,1+'설정'!$C$14*'설정'!$E$34,1)/$D51)&lt;1,('설정'!$C$34*IF($A51&gt;=31,1+'설정'!$C$14*'설정'!$E$34,1)/$D51)^(-'설정'!$C$6),('설정'!$C$34*IF($A51&gt;=31,1+'설정'!$C$14*'설정'!$E$34,1)/$D51)^(-'설정'!$C$7))&gt;('설정'!$C$4+'설정'!$F$34),"실패",ROUND($E51*'설정'!$C$5*IF(('설정'!$C$34*IF($A51&gt;=31,1+'설정'!$C$14*'설정'!$E$34,1)/$D51)&lt;1,('설정'!$C$34*IF($A51&gt;=31,1+'설정'!$C$14*'설정'!$E$34,1)/$D51)^(-'설정'!$C$6),('설정'!$C$34*IF($A51&gt;=31,1+'설정'!$C$14*'설정'!$E$34,1)/$D51)^(-'설정'!$C$7)),0))</f>
        <v/>
      </c>
      <c r="U51" s="8">
        <f>IF($E51*'설정'!$C$5*IF(('설정'!$C$35*IF($A51&gt;=31,1+'설정'!$C$14*'설정'!$E$35,1)/$D51)&lt;1,('설정'!$C$35*IF($A51&gt;=31,1+'설정'!$C$14*'설정'!$E$35,1)/$D51)^(-'설정'!$C$6),('설정'!$C$35*IF($A51&gt;=31,1+'설정'!$C$14*'설정'!$E$35,1)/$D51)^(-'설정'!$C$7))&gt;('설정'!$C$4+'설정'!$F$35),"실패",ROUND($E51*'설정'!$C$5*IF(('설정'!$C$35*IF($A51&gt;=31,1+'설정'!$C$14*'설정'!$E$35,1)/$D51)&lt;1,('설정'!$C$35*IF($A51&gt;=31,1+'설정'!$C$14*'설정'!$E$35,1)/$D51)^(-'설정'!$C$6),('설정'!$C$35*IF($A51&gt;=31,1+'설정'!$C$14*'설정'!$E$35,1)/$D51)^(-'설정'!$C$7)),0))</f>
        <v/>
      </c>
      <c r="V51" s="8">
        <f>IF($E51*'설정'!$C$5*IF(('설정'!$C$36*IF($A51&gt;=31,1+'설정'!$C$14*'설정'!$E$36,1)/$D51)&lt;1,('설정'!$C$36*IF($A51&gt;=31,1+'설정'!$C$14*'설정'!$E$36,1)/$D51)^(-'설정'!$C$6),('설정'!$C$36*IF($A51&gt;=31,1+'설정'!$C$14*'설정'!$E$36,1)/$D51)^(-'설정'!$C$7))&gt;('설정'!$C$4+'설정'!$F$36),"실패",ROUND($E51*'설정'!$C$5*IF(('설정'!$C$36*IF($A51&gt;=31,1+'설정'!$C$14*'설정'!$E$36,1)/$D51)&lt;1,('설정'!$C$36*IF($A51&gt;=31,1+'설정'!$C$14*'설정'!$E$36,1)/$D51)^(-'설정'!$C$6),('설정'!$C$36*IF($A51&gt;=31,1+'설정'!$C$14*'설정'!$E$36,1)/$D51)^(-'설정'!$C$7)),0))</f>
        <v/>
      </c>
      <c r="W51" s="8">
        <f>IF($E51*'설정'!$C$5*IF(('설정'!$C$37*IF($A51&gt;=31,1+'설정'!$C$14*'설정'!$E$37,1)/$D51)&lt;1,('설정'!$C$37*IF($A51&gt;=31,1+'설정'!$C$14*'설정'!$E$37,1)/$D51)^(-'설정'!$C$6),('설정'!$C$37*IF($A51&gt;=31,1+'설정'!$C$14*'설정'!$E$37,1)/$D51)^(-'설정'!$C$7))&gt;('설정'!$C$4+'설정'!$F$37),"실패",ROUND($E51*'설정'!$C$5*IF(('설정'!$C$37*IF($A51&gt;=31,1+'설정'!$C$14*'설정'!$E$37,1)/$D51)&lt;1,('설정'!$C$37*IF($A51&gt;=31,1+'설정'!$C$14*'설정'!$E$37,1)/$D51)^(-'설정'!$C$6),('설정'!$C$37*IF($A51&gt;=31,1+'설정'!$C$14*'설정'!$E$37,1)/$D51)^(-'설정'!$C$7)),0))</f>
        <v/>
      </c>
    </row>
    <row r="52">
      <c r="A52" s="4" t="n">
        <v>50</v>
      </c>
      <c r="B52" s="4" t="inlineStr">
        <is>
          <t>허들</t>
        </is>
      </c>
      <c r="C52" s="4" t="inlineStr">
        <is>
          <t>보스</t>
        </is>
      </c>
      <c r="D52" s="9" t="n">
        <v>3110000</v>
      </c>
      <c r="E52" s="4" t="n">
        <v>151.2</v>
      </c>
      <c r="F52" s="9" t="n">
        <v>62200</v>
      </c>
      <c r="G52" s="4" t="n">
        <v>51</v>
      </c>
      <c r="H52" s="8">
        <f>IF($E52*'설정'!$C$5*IF(('설정'!$C$22*IF($A52&gt;=31,1+'설정'!$C$14*'설정'!$E$22,1)/$D52)&lt;1,('설정'!$C$22*IF($A52&gt;=31,1+'설정'!$C$14*'설정'!$E$22,1)/$D52)^(-'설정'!$C$6),('설정'!$C$22*IF($A52&gt;=31,1+'설정'!$C$14*'설정'!$E$22,1)/$D52)^(-'설정'!$C$7))&gt;('설정'!$C$4+'설정'!$F$22+'설정'!$G$22),"실패",ROUND($E52*'설정'!$C$5*IF(('설정'!$C$22*IF($A52&gt;=31,1+'설정'!$C$14*'설정'!$E$22,1)/$D52)&lt;1,('설정'!$C$22*IF($A52&gt;=31,1+'설정'!$C$14*'설정'!$E$22,1)/$D52)^(-'설정'!$C$6),('설정'!$C$22*IF($A52&gt;=31,1+'설정'!$C$14*'설정'!$E$22,1)/$D52)^(-'설정'!$C$7)),0))</f>
        <v/>
      </c>
      <c r="I52" s="8">
        <f>IF($E52*'설정'!$C$5*IF(('설정'!$C$23*IF($A52&gt;=31,1+'설정'!$C$14*'설정'!$E$23,1)/$D52)&lt;1,('설정'!$C$23*IF($A52&gt;=31,1+'설정'!$C$14*'설정'!$E$23,1)/$D52)^(-'설정'!$C$6),('설정'!$C$23*IF($A52&gt;=31,1+'설정'!$C$14*'설정'!$E$23,1)/$D52)^(-'설정'!$C$7))&gt;('설정'!$C$4+'설정'!$F$23+'설정'!$G$23),"실패",ROUND($E52*'설정'!$C$5*IF(('설정'!$C$23*IF($A52&gt;=31,1+'설정'!$C$14*'설정'!$E$23,1)/$D52)&lt;1,('설정'!$C$23*IF($A52&gt;=31,1+'설정'!$C$14*'설정'!$E$23,1)/$D52)^(-'설정'!$C$6),('설정'!$C$23*IF($A52&gt;=31,1+'설정'!$C$14*'설정'!$E$23,1)/$D52)^(-'설정'!$C$7)),0))</f>
        <v/>
      </c>
      <c r="J52" s="8">
        <f>IF($E52*'설정'!$C$5*IF(('설정'!$C$24*IF($A52&gt;=31,1+'설정'!$C$14*'설정'!$E$24,1)/$D52)&lt;1,('설정'!$C$24*IF($A52&gt;=31,1+'설정'!$C$14*'설정'!$E$24,1)/$D52)^(-'설정'!$C$6),('설정'!$C$24*IF($A52&gt;=31,1+'설정'!$C$14*'설정'!$E$24,1)/$D52)^(-'설정'!$C$7))&gt;('설정'!$C$4+'설정'!$F$24+'설정'!$G$24),"실패",ROUND($E52*'설정'!$C$5*IF(('설정'!$C$24*IF($A52&gt;=31,1+'설정'!$C$14*'설정'!$E$24,1)/$D52)&lt;1,('설정'!$C$24*IF($A52&gt;=31,1+'설정'!$C$14*'설정'!$E$24,1)/$D52)^(-'설정'!$C$6),('설정'!$C$24*IF($A52&gt;=31,1+'설정'!$C$14*'설정'!$E$24,1)/$D52)^(-'설정'!$C$7)),0))</f>
        <v/>
      </c>
      <c r="K52" s="8">
        <f>IF($E52*'설정'!$C$5*IF(('설정'!$C$25*IF($A52&gt;=31,1+'설정'!$C$14*'설정'!$E$25,1)/$D52)&lt;1,('설정'!$C$25*IF($A52&gt;=31,1+'설정'!$C$14*'설정'!$E$25,1)/$D52)^(-'설정'!$C$6),('설정'!$C$25*IF($A52&gt;=31,1+'설정'!$C$14*'설정'!$E$25,1)/$D52)^(-'설정'!$C$7))&gt;('설정'!$C$4+'설정'!$F$25+'설정'!$G$25),"실패",ROUND($E52*'설정'!$C$5*IF(('설정'!$C$25*IF($A52&gt;=31,1+'설정'!$C$14*'설정'!$E$25,1)/$D52)&lt;1,('설정'!$C$25*IF($A52&gt;=31,1+'설정'!$C$14*'설정'!$E$25,1)/$D52)^(-'설정'!$C$6),('설정'!$C$25*IF($A52&gt;=31,1+'설정'!$C$14*'설정'!$E$25,1)/$D52)^(-'설정'!$C$7)),0))</f>
        <v/>
      </c>
      <c r="L52" s="8">
        <f>IF($E52*'설정'!$C$5*IF(('설정'!$C$26*IF($A52&gt;=31,1+'설정'!$C$14*'설정'!$E$26,1)/$D52)&lt;1,('설정'!$C$26*IF($A52&gt;=31,1+'설정'!$C$14*'설정'!$E$26,1)/$D52)^(-'설정'!$C$6),('설정'!$C$26*IF($A52&gt;=31,1+'설정'!$C$14*'설정'!$E$26,1)/$D52)^(-'설정'!$C$7))&gt;('설정'!$C$4+'설정'!$F$26+'설정'!$G$26),"실패",ROUND($E52*'설정'!$C$5*IF(('설정'!$C$26*IF($A52&gt;=31,1+'설정'!$C$14*'설정'!$E$26,1)/$D52)&lt;1,('설정'!$C$26*IF($A52&gt;=31,1+'설정'!$C$14*'설정'!$E$26,1)/$D52)^(-'설정'!$C$6),('설정'!$C$26*IF($A52&gt;=31,1+'설정'!$C$14*'설정'!$E$26,1)/$D52)^(-'설정'!$C$7)),0))</f>
        <v/>
      </c>
      <c r="M52" s="8">
        <f>IF($E52*'설정'!$C$5*IF(('설정'!$C$27*IF($A52&gt;=31,1+'설정'!$C$14*'설정'!$E$27,1)/$D52)&lt;1,('설정'!$C$27*IF($A52&gt;=31,1+'설정'!$C$14*'설정'!$E$27,1)/$D52)^(-'설정'!$C$6),('설정'!$C$27*IF($A52&gt;=31,1+'설정'!$C$14*'설정'!$E$27,1)/$D52)^(-'설정'!$C$7))&gt;('설정'!$C$4+'설정'!$F$27+'설정'!$G$27),"실패",ROUND($E52*'설정'!$C$5*IF(('설정'!$C$27*IF($A52&gt;=31,1+'설정'!$C$14*'설정'!$E$27,1)/$D52)&lt;1,('설정'!$C$27*IF($A52&gt;=31,1+'설정'!$C$14*'설정'!$E$27,1)/$D52)^(-'설정'!$C$6),('설정'!$C$27*IF($A52&gt;=31,1+'설정'!$C$14*'설정'!$E$27,1)/$D52)^(-'설정'!$C$7)),0))</f>
        <v/>
      </c>
      <c r="N52" s="8">
        <f>IF($E52*'설정'!$C$5*IF(('설정'!$C$28*IF($A52&gt;=31,1+'설정'!$C$14*'설정'!$E$28,1)/$D52)&lt;1,('설정'!$C$28*IF($A52&gt;=31,1+'설정'!$C$14*'설정'!$E$28,1)/$D52)^(-'설정'!$C$6),('설정'!$C$28*IF($A52&gt;=31,1+'설정'!$C$14*'설정'!$E$28,1)/$D52)^(-'설정'!$C$7))&gt;('설정'!$C$4+'설정'!$F$28+'설정'!$G$28),"실패",ROUND($E52*'설정'!$C$5*IF(('설정'!$C$28*IF($A52&gt;=31,1+'설정'!$C$14*'설정'!$E$28,1)/$D52)&lt;1,('설정'!$C$28*IF($A52&gt;=31,1+'설정'!$C$14*'설정'!$E$28,1)/$D52)^(-'설정'!$C$6),('설정'!$C$28*IF($A52&gt;=31,1+'설정'!$C$14*'설정'!$E$28,1)/$D52)^(-'설정'!$C$7)),0))</f>
        <v/>
      </c>
      <c r="O52" s="8">
        <f>IF($E52*'설정'!$C$5*IF(('설정'!$C$29*IF($A52&gt;=31,1+'설정'!$C$14*'설정'!$E$29,1)/$D52)&lt;1,('설정'!$C$29*IF($A52&gt;=31,1+'설정'!$C$14*'설정'!$E$29,1)/$D52)^(-'설정'!$C$6),('설정'!$C$29*IF($A52&gt;=31,1+'설정'!$C$14*'설정'!$E$29,1)/$D52)^(-'설정'!$C$7))&gt;('설정'!$C$4+'설정'!$F$29+'설정'!$G$29),"실패",ROUND($E52*'설정'!$C$5*IF(('설정'!$C$29*IF($A52&gt;=31,1+'설정'!$C$14*'설정'!$E$29,1)/$D52)&lt;1,('설정'!$C$29*IF($A52&gt;=31,1+'설정'!$C$14*'설정'!$E$29,1)/$D52)^(-'설정'!$C$6),('설정'!$C$29*IF($A52&gt;=31,1+'설정'!$C$14*'설정'!$E$29,1)/$D52)^(-'설정'!$C$7)),0))</f>
        <v/>
      </c>
      <c r="P52" s="8">
        <f>IF($E52*'설정'!$C$5*IF(('설정'!$C$30*IF($A52&gt;=31,1+'설정'!$C$14*'설정'!$E$30,1)/$D52)&lt;1,('설정'!$C$30*IF($A52&gt;=31,1+'설정'!$C$14*'설정'!$E$30,1)/$D52)^(-'설정'!$C$6),('설정'!$C$30*IF($A52&gt;=31,1+'설정'!$C$14*'설정'!$E$30,1)/$D52)^(-'설정'!$C$7))&gt;('설정'!$C$4+'설정'!$F$30+'설정'!$G$30),"실패",ROUND($E52*'설정'!$C$5*IF(('설정'!$C$30*IF($A52&gt;=31,1+'설정'!$C$14*'설정'!$E$30,1)/$D52)&lt;1,('설정'!$C$30*IF($A52&gt;=31,1+'설정'!$C$14*'설정'!$E$30,1)/$D52)^(-'설정'!$C$6),('설정'!$C$30*IF($A52&gt;=31,1+'설정'!$C$14*'설정'!$E$30,1)/$D52)^(-'설정'!$C$7)),0))</f>
        <v/>
      </c>
      <c r="Q52" s="8">
        <f>IF($E52*'설정'!$C$5*IF(('설정'!$C$31*IF($A52&gt;=31,1+'설정'!$C$14*'설정'!$E$31,1)/$D52)&lt;1,('설정'!$C$31*IF($A52&gt;=31,1+'설정'!$C$14*'설정'!$E$31,1)/$D52)^(-'설정'!$C$6),('설정'!$C$31*IF($A52&gt;=31,1+'설정'!$C$14*'설정'!$E$31,1)/$D52)^(-'설정'!$C$7))&gt;('설정'!$C$4+'설정'!$F$31+'설정'!$G$31),"실패",ROUND($E52*'설정'!$C$5*IF(('설정'!$C$31*IF($A52&gt;=31,1+'설정'!$C$14*'설정'!$E$31,1)/$D52)&lt;1,('설정'!$C$31*IF($A52&gt;=31,1+'설정'!$C$14*'설정'!$E$31,1)/$D52)^(-'설정'!$C$6),('설정'!$C$31*IF($A52&gt;=31,1+'설정'!$C$14*'설정'!$E$31,1)/$D52)^(-'설정'!$C$7)),0))</f>
        <v/>
      </c>
      <c r="R52" s="8">
        <f>IF($E52*'설정'!$C$5*IF(('설정'!$C$32*IF($A52&gt;=31,1+'설정'!$C$14*'설정'!$E$32,1)/$D52)&lt;1,('설정'!$C$32*IF($A52&gt;=31,1+'설정'!$C$14*'설정'!$E$32,1)/$D52)^(-'설정'!$C$6),('설정'!$C$32*IF($A52&gt;=31,1+'설정'!$C$14*'설정'!$E$32,1)/$D52)^(-'설정'!$C$7))&gt;('설정'!$C$4+'설정'!$F$32+'설정'!$G$32),"실패",ROUND($E52*'설정'!$C$5*IF(('설정'!$C$32*IF($A52&gt;=31,1+'설정'!$C$14*'설정'!$E$32,1)/$D52)&lt;1,('설정'!$C$32*IF($A52&gt;=31,1+'설정'!$C$14*'설정'!$E$32,1)/$D52)^(-'설정'!$C$6),('설정'!$C$32*IF($A52&gt;=31,1+'설정'!$C$14*'설정'!$E$32,1)/$D52)^(-'설정'!$C$7)),0))</f>
        <v/>
      </c>
      <c r="S52" s="8">
        <f>IF($E52*'설정'!$C$5*IF(('설정'!$C$33*IF($A52&gt;=31,1+'설정'!$C$14*'설정'!$E$33,1)/$D52)&lt;1,('설정'!$C$33*IF($A52&gt;=31,1+'설정'!$C$14*'설정'!$E$33,1)/$D52)^(-'설정'!$C$6),('설정'!$C$33*IF($A52&gt;=31,1+'설정'!$C$14*'설정'!$E$33,1)/$D52)^(-'설정'!$C$7))&gt;('설정'!$C$4+'설정'!$F$33+'설정'!$G$33),"실패",ROUND($E52*'설정'!$C$5*IF(('설정'!$C$33*IF($A52&gt;=31,1+'설정'!$C$14*'설정'!$E$33,1)/$D52)&lt;1,('설정'!$C$33*IF($A52&gt;=31,1+'설정'!$C$14*'설정'!$E$33,1)/$D52)^(-'설정'!$C$6),('설정'!$C$33*IF($A52&gt;=31,1+'설정'!$C$14*'설정'!$E$33,1)/$D52)^(-'설정'!$C$7)),0))</f>
        <v/>
      </c>
      <c r="T52" s="8">
        <f>IF($E52*'설정'!$C$5*IF(('설정'!$C$34*IF($A52&gt;=31,1+'설정'!$C$14*'설정'!$E$34,1)/$D52)&lt;1,('설정'!$C$34*IF($A52&gt;=31,1+'설정'!$C$14*'설정'!$E$34,1)/$D52)^(-'설정'!$C$6),('설정'!$C$34*IF($A52&gt;=31,1+'설정'!$C$14*'설정'!$E$34,1)/$D52)^(-'설정'!$C$7))&gt;('설정'!$C$4+'설정'!$F$34+'설정'!$G$34),"실패",ROUND($E52*'설정'!$C$5*IF(('설정'!$C$34*IF($A52&gt;=31,1+'설정'!$C$14*'설정'!$E$34,1)/$D52)&lt;1,('설정'!$C$34*IF($A52&gt;=31,1+'설정'!$C$14*'설정'!$E$34,1)/$D52)^(-'설정'!$C$6),('설정'!$C$34*IF($A52&gt;=31,1+'설정'!$C$14*'설정'!$E$34,1)/$D52)^(-'설정'!$C$7)),0))</f>
        <v/>
      </c>
      <c r="U52" s="8">
        <f>IF($E52*'설정'!$C$5*IF(('설정'!$C$35*IF($A52&gt;=31,1+'설정'!$C$14*'설정'!$E$35,1)/$D52)&lt;1,('설정'!$C$35*IF($A52&gt;=31,1+'설정'!$C$14*'설정'!$E$35,1)/$D52)^(-'설정'!$C$6),('설정'!$C$35*IF($A52&gt;=31,1+'설정'!$C$14*'설정'!$E$35,1)/$D52)^(-'설정'!$C$7))&gt;('설정'!$C$4+'설정'!$F$35+'설정'!$G$35),"실패",ROUND($E52*'설정'!$C$5*IF(('설정'!$C$35*IF($A52&gt;=31,1+'설정'!$C$14*'설정'!$E$35,1)/$D52)&lt;1,('설정'!$C$35*IF($A52&gt;=31,1+'설정'!$C$14*'설정'!$E$35,1)/$D52)^(-'설정'!$C$6),('설정'!$C$35*IF($A52&gt;=31,1+'설정'!$C$14*'설정'!$E$35,1)/$D52)^(-'설정'!$C$7)),0))</f>
        <v/>
      </c>
      <c r="V52" s="8">
        <f>IF($E52*'설정'!$C$5*IF(('설정'!$C$36*IF($A52&gt;=31,1+'설정'!$C$14*'설정'!$E$36,1)/$D52)&lt;1,('설정'!$C$36*IF($A52&gt;=31,1+'설정'!$C$14*'설정'!$E$36,1)/$D52)^(-'설정'!$C$6),('설정'!$C$36*IF($A52&gt;=31,1+'설정'!$C$14*'설정'!$E$36,1)/$D52)^(-'설정'!$C$7))&gt;('설정'!$C$4+'설정'!$F$36+'설정'!$G$36),"실패",ROUND($E52*'설정'!$C$5*IF(('설정'!$C$36*IF($A52&gt;=31,1+'설정'!$C$14*'설정'!$E$36,1)/$D52)&lt;1,('설정'!$C$36*IF($A52&gt;=31,1+'설정'!$C$14*'설정'!$E$36,1)/$D52)^(-'설정'!$C$6),('설정'!$C$36*IF($A52&gt;=31,1+'설정'!$C$14*'설정'!$E$36,1)/$D52)^(-'설정'!$C$7)),0))</f>
        <v/>
      </c>
      <c r="W52" s="8">
        <f>IF($E52*'설정'!$C$5*IF(('설정'!$C$37*IF($A52&gt;=31,1+'설정'!$C$14*'설정'!$E$37,1)/$D52)&lt;1,('설정'!$C$37*IF($A52&gt;=31,1+'설정'!$C$14*'설정'!$E$37,1)/$D52)^(-'설정'!$C$6),('설정'!$C$37*IF($A52&gt;=31,1+'설정'!$C$14*'설정'!$E$37,1)/$D52)^(-'설정'!$C$7))&gt;('설정'!$C$4+'설정'!$F$37+'설정'!$G$37),"실패",ROUND($E52*'설정'!$C$5*IF(('설정'!$C$37*IF($A52&gt;=31,1+'설정'!$C$14*'설정'!$E$37,1)/$D52)&lt;1,('설정'!$C$37*IF($A52&gt;=31,1+'설정'!$C$14*'설정'!$E$37,1)/$D52)^(-'설정'!$C$6),('설정'!$C$37*IF($A52&gt;=31,1+'설정'!$C$14*'설정'!$E$37,1)/$D52)^(-'설정'!$C$7)),0))</f>
        <v/>
      </c>
    </row>
    <row r="53">
      <c r="A53" t="n">
        <v>51</v>
      </c>
      <c r="B53" t="inlineStr">
        <is>
          <t>쉬움</t>
        </is>
      </c>
      <c r="C53" t="inlineStr"/>
      <c r="D53" s="6" t="n">
        <v>2100000</v>
      </c>
      <c r="E53" t="n">
        <v>72</v>
      </c>
      <c r="F53" s="6" t="n">
        <v>42100</v>
      </c>
      <c r="G53" t="n">
        <v>51</v>
      </c>
      <c r="H53" s="8">
        <f>IF($E53*'설정'!$C$5*IF(('설정'!$C$22*IF($A53&gt;=31,1+'설정'!$C$14*'설정'!$E$22,1)/$D53)&lt;1,('설정'!$C$22*IF($A53&gt;=31,1+'설정'!$C$14*'설정'!$E$22,1)/$D53)^(-'설정'!$C$6),('설정'!$C$22*IF($A53&gt;=31,1+'설정'!$C$14*'설정'!$E$22,1)/$D53)^(-'설정'!$C$7))&gt;('설정'!$C$4+'설정'!$F$22),"실패",ROUND($E53*'설정'!$C$5*IF(('설정'!$C$22*IF($A53&gt;=31,1+'설정'!$C$14*'설정'!$E$22,1)/$D53)&lt;1,('설정'!$C$22*IF($A53&gt;=31,1+'설정'!$C$14*'설정'!$E$22,1)/$D53)^(-'설정'!$C$6),('설정'!$C$22*IF($A53&gt;=31,1+'설정'!$C$14*'설정'!$E$22,1)/$D53)^(-'설정'!$C$7)),0))</f>
        <v/>
      </c>
      <c r="I53" s="8">
        <f>IF($E53*'설정'!$C$5*IF(('설정'!$C$23*IF($A53&gt;=31,1+'설정'!$C$14*'설정'!$E$23,1)/$D53)&lt;1,('설정'!$C$23*IF($A53&gt;=31,1+'설정'!$C$14*'설정'!$E$23,1)/$D53)^(-'설정'!$C$6),('설정'!$C$23*IF($A53&gt;=31,1+'설정'!$C$14*'설정'!$E$23,1)/$D53)^(-'설정'!$C$7))&gt;('설정'!$C$4+'설정'!$F$23),"실패",ROUND($E53*'설정'!$C$5*IF(('설정'!$C$23*IF($A53&gt;=31,1+'설정'!$C$14*'설정'!$E$23,1)/$D53)&lt;1,('설정'!$C$23*IF($A53&gt;=31,1+'설정'!$C$14*'설정'!$E$23,1)/$D53)^(-'설정'!$C$6),('설정'!$C$23*IF($A53&gt;=31,1+'설정'!$C$14*'설정'!$E$23,1)/$D53)^(-'설정'!$C$7)),0))</f>
        <v/>
      </c>
      <c r="J53" s="8">
        <f>IF($E53*'설정'!$C$5*IF(('설정'!$C$24*IF($A53&gt;=31,1+'설정'!$C$14*'설정'!$E$24,1)/$D53)&lt;1,('설정'!$C$24*IF($A53&gt;=31,1+'설정'!$C$14*'설정'!$E$24,1)/$D53)^(-'설정'!$C$6),('설정'!$C$24*IF($A53&gt;=31,1+'설정'!$C$14*'설정'!$E$24,1)/$D53)^(-'설정'!$C$7))&gt;('설정'!$C$4+'설정'!$F$24),"실패",ROUND($E53*'설정'!$C$5*IF(('설정'!$C$24*IF($A53&gt;=31,1+'설정'!$C$14*'설정'!$E$24,1)/$D53)&lt;1,('설정'!$C$24*IF($A53&gt;=31,1+'설정'!$C$14*'설정'!$E$24,1)/$D53)^(-'설정'!$C$6),('설정'!$C$24*IF($A53&gt;=31,1+'설정'!$C$14*'설정'!$E$24,1)/$D53)^(-'설정'!$C$7)),0))</f>
        <v/>
      </c>
      <c r="K53" s="8">
        <f>IF($E53*'설정'!$C$5*IF(('설정'!$C$25*IF($A53&gt;=31,1+'설정'!$C$14*'설정'!$E$25,1)/$D53)&lt;1,('설정'!$C$25*IF($A53&gt;=31,1+'설정'!$C$14*'설정'!$E$25,1)/$D53)^(-'설정'!$C$6),('설정'!$C$25*IF($A53&gt;=31,1+'설정'!$C$14*'설정'!$E$25,1)/$D53)^(-'설정'!$C$7))&gt;('설정'!$C$4+'설정'!$F$25),"실패",ROUND($E53*'설정'!$C$5*IF(('설정'!$C$25*IF($A53&gt;=31,1+'설정'!$C$14*'설정'!$E$25,1)/$D53)&lt;1,('설정'!$C$25*IF($A53&gt;=31,1+'설정'!$C$14*'설정'!$E$25,1)/$D53)^(-'설정'!$C$6),('설정'!$C$25*IF($A53&gt;=31,1+'설정'!$C$14*'설정'!$E$25,1)/$D53)^(-'설정'!$C$7)),0))</f>
        <v/>
      </c>
      <c r="L53" s="8">
        <f>IF($E53*'설정'!$C$5*IF(('설정'!$C$26*IF($A53&gt;=31,1+'설정'!$C$14*'설정'!$E$26,1)/$D53)&lt;1,('설정'!$C$26*IF($A53&gt;=31,1+'설정'!$C$14*'설정'!$E$26,1)/$D53)^(-'설정'!$C$6),('설정'!$C$26*IF($A53&gt;=31,1+'설정'!$C$14*'설정'!$E$26,1)/$D53)^(-'설정'!$C$7))&gt;('설정'!$C$4+'설정'!$F$26),"실패",ROUND($E53*'설정'!$C$5*IF(('설정'!$C$26*IF($A53&gt;=31,1+'설정'!$C$14*'설정'!$E$26,1)/$D53)&lt;1,('설정'!$C$26*IF($A53&gt;=31,1+'설정'!$C$14*'설정'!$E$26,1)/$D53)^(-'설정'!$C$6),('설정'!$C$26*IF($A53&gt;=31,1+'설정'!$C$14*'설정'!$E$26,1)/$D53)^(-'설정'!$C$7)),0))</f>
        <v/>
      </c>
      <c r="M53" s="8">
        <f>IF($E53*'설정'!$C$5*IF(('설정'!$C$27*IF($A53&gt;=31,1+'설정'!$C$14*'설정'!$E$27,1)/$D53)&lt;1,('설정'!$C$27*IF($A53&gt;=31,1+'설정'!$C$14*'설정'!$E$27,1)/$D53)^(-'설정'!$C$6),('설정'!$C$27*IF($A53&gt;=31,1+'설정'!$C$14*'설정'!$E$27,1)/$D53)^(-'설정'!$C$7))&gt;('설정'!$C$4+'설정'!$F$27),"실패",ROUND($E53*'설정'!$C$5*IF(('설정'!$C$27*IF($A53&gt;=31,1+'설정'!$C$14*'설정'!$E$27,1)/$D53)&lt;1,('설정'!$C$27*IF($A53&gt;=31,1+'설정'!$C$14*'설정'!$E$27,1)/$D53)^(-'설정'!$C$6),('설정'!$C$27*IF($A53&gt;=31,1+'설정'!$C$14*'설정'!$E$27,1)/$D53)^(-'설정'!$C$7)),0))</f>
        <v/>
      </c>
      <c r="N53" s="8">
        <f>IF($E53*'설정'!$C$5*IF(('설정'!$C$28*IF($A53&gt;=31,1+'설정'!$C$14*'설정'!$E$28,1)/$D53)&lt;1,('설정'!$C$28*IF($A53&gt;=31,1+'설정'!$C$14*'설정'!$E$28,1)/$D53)^(-'설정'!$C$6),('설정'!$C$28*IF($A53&gt;=31,1+'설정'!$C$14*'설정'!$E$28,1)/$D53)^(-'설정'!$C$7))&gt;('설정'!$C$4+'설정'!$F$28),"실패",ROUND($E53*'설정'!$C$5*IF(('설정'!$C$28*IF($A53&gt;=31,1+'설정'!$C$14*'설정'!$E$28,1)/$D53)&lt;1,('설정'!$C$28*IF($A53&gt;=31,1+'설정'!$C$14*'설정'!$E$28,1)/$D53)^(-'설정'!$C$6),('설정'!$C$28*IF($A53&gt;=31,1+'설정'!$C$14*'설정'!$E$28,1)/$D53)^(-'설정'!$C$7)),0))</f>
        <v/>
      </c>
      <c r="O53" s="8">
        <f>IF($E53*'설정'!$C$5*IF(('설정'!$C$29*IF($A53&gt;=31,1+'설정'!$C$14*'설정'!$E$29,1)/$D53)&lt;1,('설정'!$C$29*IF($A53&gt;=31,1+'설정'!$C$14*'설정'!$E$29,1)/$D53)^(-'설정'!$C$6),('설정'!$C$29*IF($A53&gt;=31,1+'설정'!$C$14*'설정'!$E$29,1)/$D53)^(-'설정'!$C$7))&gt;('설정'!$C$4+'설정'!$F$29),"실패",ROUND($E53*'설정'!$C$5*IF(('설정'!$C$29*IF($A53&gt;=31,1+'설정'!$C$14*'설정'!$E$29,1)/$D53)&lt;1,('설정'!$C$29*IF($A53&gt;=31,1+'설정'!$C$14*'설정'!$E$29,1)/$D53)^(-'설정'!$C$6),('설정'!$C$29*IF($A53&gt;=31,1+'설정'!$C$14*'설정'!$E$29,1)/$D53)^(-'설정'!$C$7)),0))</f>
        <v/>
      </c>
      <c r="P53" s="8">
        <f>IF($E53*'설정'!$C$5*IF(('설정'!$C$30*IF($A53&gt;=31,1+'설정'!$C$14*'설정'!$E$30,1)/$D53)&lt;1,('설정'!$C$30*IF($A53&gt;=31,1+'설정'!$C$14*'설정'!$E$30,1)/$D53)^(-'설정'!$C$6),('설정'!$C$30*IF($A53&gt;=31,1+'설정'!$C$14*'설정'!$E$30,1)/$D53)^(-'설정'!$C$7))&gt;('설정'!$C$4+'설정'!$F$30),"실패",ROUND($E53*'설정'!$C$5*IF(('설정'!$C$30*IF($A53&gt;=31,1+'설정'!$C$14*'설정'!$E$30,1)/$D53)&lt;1,('설정'!$C$30*IF($A53&gt;=31,1+'설정'!$C$14*'설정'!$E$30,1)/$D53)^(-'설정'!$C$6),('설정'!$C$30*IF($A53&gt;=31,1+'설정'!$C$14*'설정'!$E$30,1)/$D53)^(-'설정'!$C$7)),0))</f>
        <v/>
      </c>
      <c r="Q53" s="8">
        <f>IF($E53*'설정'!$C$5*IF(('설정'!$C$31*IF($A53&gt;=31,1+'설정'!$C$14*'설정'!$E$31,1)/$D53)&lt;1,('설정'!$C$31*IF($A53&gt;=31,1+'설정'!$C$14*'설정'!$E$31,1)/$D53)^(-'설정'!$C$6),('설정'!$C$31*IF($A53&gt;=31,1+'설정'!$C$14*'설정'!$E$31,1)/$D53)^(-'설정'!$C$7))&gt;('설정'!$C$4+'설정'!$F$31),"실패",ROUND($E53*'설정'!$C$5*IF(('설정'!$C$31*IF($A53&gt;=31,1+'설정'!$C$14*'설정'!$E$31,1)/$D53)&lt;1,('설정'!$C$31*IF($A53&gt;=31,1+'설정'!$C$14*'설정'!$E$31,1)/$D53)^(-'설정'!$C$6),('설정'!$C$31*IF($A53&gt;=31,1+'설정'!$C$14*'설정'!$E$31,1)/$D53)^(-'설정'!$C$7)),0))</f>
        <v/>
      </c>
      <c r="R53" s="8">
        <f>IF($E53*'설정'!$C$5*IF(('설정'!$C$32*IF($A53&gt;=31,1+'설정'!$C$14*'설정'!$E$32,1)/$D53)&lt;1,('설정'!$C$32*IF($A53&gt;=31,1+'설정'!$C$14*'설정'!$E$32,1)/$D53)^(-'설정'!$C$6),('설정'!$C$32*IF($A53&gt;=31,1+'설정'!$C$14*'설정'!$E$32,1)/$D53)^(-'설정'!$C$7))&gt;('설정'!$C$4+'설정'!$F$32),"실패",ROUND($E53*'설정'!$C$5*IF(('설정'!$C$32*IF($A53&gt;=31,1+'설정'!$C$14*'설정'!$E$32,1)/$D53)&lt;1,('설정'!$C$32*IF($A53&gt;=31,1+'설정'!$C$14*'설정'!$E$32,1)/$D53)^(-'설정'!$C$6),('설정'!$C$32*IF($A53&gt;=31,1+'설정'!$C$14*'설정'!$E$32,1)/$D53)^(-'설정'!$C$7)),0))</f>
        <v/>
      </c>
      <c r="S53" s="8">
        <f>IF($E53*'설정'!$C$5*IF(('설정'!$C$33*IF($A53&gt;=31,1+'설정'!$C$14*'설정'!$E$33,1)/$D53)&lt;1,('설정'!$C$33*IF($A53&gt;=31,1+'설정'!$C$14*'설정'!$E$33,1)/$D53)^(-'설정'!$C$6),('설정'!$C$33*IF($A53&gt;=31,1+'설정'!$C$14*'설정'!$E$33,1)/$D53)^(-'설정'!$C$7))&gt;('설정'!$C$4+'설정'!$F$33),"실패",ROUND($E53*'설정'!$C$5*IF(('설정'!$C$33*IF($A53&gt;=31,1+'설정'!$C$14*'설정'!$E$33,1)/$D53)&lt;1,('설정'!$C$33*IF($A53&gt;=31,1+'설정'!$C$14*'설정'!$E$33,1)/$D53)^(-'설정'!$C$6),('설정'!$C$33*IF($A53&gt;=31,1+'설정'!$C$14*'설정'!$E$33,1)/$D53)^(-'설정'!$C$7)),0))</f>
        <v/>
      </c>
      <c r="T53" s="8">
        <f>IF($E53*'설정'!$C$5*IF(('설정'!$C$34*IF($A53&gt;=31,1+'설정'!$C$14*'설정'!$E$34,1)/$D53)&lt;1,('설정'!$C$34*IF($A53&gt;=31,1+'설정'!$C$14*'설정'!$E$34,1)/$D53)^(-'설정'!$C$6),('설정'!$C$34*IF($A53&gt;=31,1+'설정'!$C$14*'설정'!$E$34,1)/$D53)^(-'설정'!$C$7))&gt;('설정'!$C$4+'설정'!$F$34),"실패",ROUND($E53*'설정'!$C$5*IF(('설정'!$C$34*IF($A53&gt;=31,1+'설정'!$C$14*'설정'!$E$34,1)/$D53)&lt;1,('설정'!$C$34*IF($A53&gt;=31,1+'설정'!$C$14*'설정'!$E$34,1)/$D53)^(-'설정'!$C$6),('설정'!$C$34*IF($A53&gt;=31,1+'설정'!$C$14*'설정'!$E$34,1)/$D53)^(-'설정'!$C$7)),0))</f>
        <v/>
      </c>
      <c r="U53" s="8">
        <f>IF($E53*'설정'!$C$5*IF(('설정'!$C$35*IF($A53&gt;=31,1+'설정'!$C$14*'설정'!$E$35,1)/$D53)&lt;1,('설정'!$C$35*IF($A53&gt;=31,1+'설정'!$C$14*'설정'!$E$35,1)/$D53)^(-'설정'!$C$6),('설정'!$C$35*IF($A53&gt;=31,1+'설정'!$C$14*'설정'!$E$35,1)/$D53)^(-'설정'!$C$7))&gt;('설정'!$C$4+'설정'!$F$35),"실패",ROUND($E53*'설정'!$C$5*IF(('설정'!$C$35*IF($A53&gt;=31,1+'설정'!$C$14*'설정'!$E$35,1)/$D53)&lt;1,('설정'!$C$35*IF($A53&gt;=31,1+'설정'!$C$14*'설정'!$E$35,1)/$D53)^(-'설정'!$C$6),('설정'!$C$35*IF($A53&gt;=31,1+'설정'!$C$14*'설정'!$E$35,1)/$D53)^(-'설정'!$C$7)),0))</f>
        <v/>
      </c>
      <c r="V53" s="8">
        <f>IF($E53*'설정'!$C$5*IF(('설정'!$C$36*IF($A53&gt;=31,1+'설정'!$C$14*'설정'!$E$36,1)/$D53)&lt;1,('설정'!$C$36*IF($A53&gt;=31,1+'설정'!$C$14*'설정'!$E$36,1)/$D53)^(-'설정'!$C$6),('설정'!$C$36*IF($A53&gt;=31,1+'설정'!$C$14*'설정'!$E$36,1)/$D53)^(-'설정'!$C$7))&gt;('설정'!$C$4+'설정'!$F$36),"실패",ROUND($E53*'설정'!$C$5*IF(('설정'!$C$36*IF($A53&gt;=31,1+'설정'!$C$14*'설정'!$E$36,1)/$D53)&lt;1,('설정'!$C$36*IF($A53&gt;=31,1+'설정'!$C$14*'설정'!$E$36,1)/$D53)^(-'설정'!$C$6),('설정'!$C$36*IF($A53&gt;=31,1+'설정'!$C$14*'설정'!$E$36,1)/$D53)^(-'설정'!$C$7)),0))</f>
        <v/>
      </c>
      <c r="W53" s="8">
        <f>IF($E53*'설정'!$C$5*IF(('설정'!$C$37*IF($A53&gt;=31,1+'설정'!$C$14*'설정'!$E$37,1)/$D53)&lt;1,('설정'!$C$37*IF($A53&gt;=31,1+'설정'!$C$14*'설정'!$E$37,1)/$D53)^(-'설정'!$C$6),('설정'!$C$37*IF($A53&gt;=31,1+'설정'!$C$14*'설정'!$E$37,1)/$D53)^(-'설정'!$C$7))&gt;('설정'!$C$4+'설정'!$F$37),"실패",ROUND($E53*'설정'!$C$5*IF(('설정'!$C$37*IF($A53&gt;=31,1+'설정'!$C$14*'설정'!$E$37,1)/$D53)&lt;1,('설정'!$C$37*IF($A53&gt;=31,1+'설정'!$C$14*'설정'!$E$37,1)/$D53)^(-'설정'!$C$6),('설정'!$C$37*IF($A53&gt;=31,1+'설정'!$C$14*'설정'!$E$37,1)/$D53)^(-'설정'!$C$7)),0))</f>
        <v/>
      </c>
    </row>
    <row r="54">
      <c r="A54" t="n">
        <v>52</v>
      </c>
      <c r="B54" t="inlineStr">
        <is>
          <t>쉬움</t>
        </is>
      </c>
      <c r="C54" t="inlineStr"/>
      <c r="D54" s="6" t="n">
        <v>2280000</v>
      </c>
      <c r="E54" t="n">
        <v>72</v>
      </c>
      <c r="F54" s="6" t="n">
        <v>45600</v>
      </c>
      <c r="G54" t="n">
        <v>51</v>
      </c>
      <c r="H54" s="8">
        <f>IF($E54*'설정'!$C$5*IF(('설정'!$C$22*IF($A54&gt;=31,1+'설정'!$C$14*'설정'!$E$22,1)/$D54)&lt;1,('설정'!$C$22*IF($A54&gt;=31,1+'설정'!$C$14*'설정'!$E$22,1)/$D54)^(-'설정'!$C$6),('설정'!$C$22*IF($A54&gt;=31,1+'설정'!$C$14*'설정'!$E$22,1)/$D54)^(-'설정'!$C$7))&gt;('설정'!$C$4+'설정'!$F$22),"실패",ROUND($E54*'설정'!$C$5*IF(('설정'!$C$22*IF($A54&gt;=31,1+'설정'!$C$14*'설정'!$E$22,1)/$D54)&lt;1,('설정'!$C$22*IF($A54&gt;=31,1+'설정'!$C$14*'설정'!$E$22,1)/$D54)^(-'설정'!$C$6),('설정'!$C$22*IF($A54&gt;=31,1+'설정'!$C$14*'설정'!$E$22,1)/$D54)^(-'설정'!$C$7)),0))</f>
        <v/>
      </c>
      <c r="I54" s="8">
        <f>IF($E54*'설정'!$C$5*IF(('설정'!$C$23*IF($A54&gt;=31,1+'설정'!$C$14*'설정'!$E$23,1)/$D54)&lt;1,('설정'!$C$23*IF($A54&gt;=31,1+'설정'!$C$14*'설정'!$E$23,1)/$D54)^(-'설정'!$C$6),('설정'!$C$23*IF($A54&gt;=31,1+'설정'!$C$14*'설정'!$E$23,1)/$D54)^(-'설정'!$C$7))&gt;('설정'!$C$4+'설정'!$F$23),"실패",ROUND($E54*'설정'!$C$5*IF(('설정'!$C$23*IF($A54&gt;=31,1+'설정'!$C$14*'설정'!$E$23,1)/$D54)&lt;1,('설정'!$C$23*IF($A54&gt;=31,1+'설정'!$C$14*'설정'!$E$23,1)/$D54)^(-'설정'!$C$6),('설정'!$C$23*IF($A54&gt;=31,1+'설정'!$C$14*'설정'!$E$23,1)/$D54)^(-'설정'!$C$7)),0))</f>
        <v/>
      </c>
      <c r="J54" s="8">
        <f>IF($E54*'설정'!$C$5*IF(('설정'!$C$24*IF($A54&gt;=31,1+'설정'!$C$14*'설정'!$E$24,1)/$D54)&lt;1,('설정'!$C$24*IF($A54&gt;=31,1+'설정'!$C$14*'설정'!$E$24,1)/$D54)^(-'설정'!$C$6),('설정'!$C$24*IF($A54&gt;=31,1+'설정'!$C$14*'설정'!$E$24,1)/$D54)^(-'설정'!$C$7))&gt;('설정'!$C$4+'설정'!$F$24),"실패",ROUND($E54*'설정'!$C$5*IF(('설정'!$C$24*IF($A54&gt;=31,1+'설정'!$C$14*'설정'!$E$24,1)/$D54)&lt;1,('설정'!$C$24*IF($A54&gt;=31,1+'설정'!$C$14*'설정'!$E$24,1)/$D54)^(-'설정'!$C$6),('설정'!$C$24*IF($A54&gt;=31,1+'설정'!$C$14*'설정'!$E$24,1)/$D54)^(-'설정'!$C$7)),0))</f>
        <v/>
      </c>
      <c r="K54" s="8">
        <f>IF($E54*'설정'!$C$5*IF(('설정'!$C$25*IF($A54&gt;=31,1+'설정'!$C$14*'설정'!$E$25,1)/$D54)&lt;1,('설정'!$C$25*IF($A54&gt;=31,1+'설정'!$C$14*'설정'!$E$25,1)/$D54)^(-'설정'!$C$6),('설정'!$C$25*IF($A54&gt;=31,1+'설정'!$C$14*'설정'!$E$25,1)/$D54)^(-'설정'!$C$7))&gt;('설정'!$C$4+'설정'!$F$25),"실패",ROUND($E54*'설정'!$C$5*IF(('설정'!$C$25*IF($A54&gt;=31,1+'설정'!$C$14*'설정'!$E$25,1)/$D54)&lt;1,('설정'!$C$25*IF($A54&gt;=31,1+'설정'!$C$14*'설정'!$E$25,1)/$D54)^(-'설정'!$C$6),('설정'!$C$25*IF($A54&gt;=31,1+'설정'!$C$14*'설정'!$E$25,1)/$D54)^(-'설정'!$C$7)),0))</f>
        <v/>
      </c>
      <c r="L54" s="8">
        <f>IF($E54*'설정'!$C$5*IF(('설정'!$C$26*IF($A54&gt;=31,1+'설정'!$C$14*'설정'!$E$26,1)/$D54)&lt;1,('설정'!$C$26*IF($A54&gt;=31,1+'설정'!$C$14*'설정'!$E$26,1)/$D54)^(-'설정'!$C$6),('설정'!$C$26*IF($A54&gt;=31,1+'설정'!$C$14*'설정'!$E$26,1)/$D54)^(-'설정'!$C$7))&gt;('설정'!$C$4+'설정'!$F$26),"실패",ROUND($E54*'설정'!$C$5*IF(('설정'!$C$26*IF($A54&gt;=31,1+'설정'!$C$14*'설정'!$E$26,1)/$D54)&lt;1,('설정'!$C$26*IF($A54&gt;=31,1+'설정'!$C$14*'설정'!$E$26,1)/$D54)^(-'설정'!$C$6),('설정'!$C$26*IF($A54&gt;=31,1+'설정'!$C$14*'설정'!$E$26,1)/$D54)^(-'설정'!$C$7)),0))</f>
        <v/>
      </c>
      <c r="M54" s="8">
        <f>IF($E54*'설정'!$C$5*IF(('설정'!$C$27*IF($A54&gt;=31,1+'설정'!$C$14*'설정'!$E$27,1)/$D54)&lt;1,('설정'!$C$27*IF($A54&gt;=31,1+'설정'!$C$14*'설정'!$E$27,1)/$D54)^(-'설정'!$C$6),('설정'!$C$27*IF($A54&gt;=31,1+'설정'!$C$14*'설정'!$E$27,1)/$D54)^(-'설정'!$C$7))&gt;('설정'!$C$4+'설정'!$F$27),"실패",ROUND($E54*'설정'!$C$5*IF(('설정'!$C$27*IF($A54&gt;=31,1+'설정'!$C$14*'설정'!$E$27,1)/$D54)&lt;1,('설정'!$C$27*IF($A54&gt;=31,1+'설정'!$C$14*'설정'!$E$27,1)/$D54)^(-'설정'!$C$6),('설정'!$C$27*IF($A54&gt;=31,1+'설정'!$C$14*'설정'!$E$27,1)/$D54)^(-'설정'!$C$7)),0))</f>
        <v/>
      </c>
      <c r="N54" s="8">
        <f>IF($E54*'설정'!$C$5*IF(('설정'!$C$28*IF($A54&gt;=31,1+'설정'!$C$14*'설정'!$E$28,1)/$D54)&lt;1,('설정'!$C$28*IF($A54&gt;=31,1+'설정'!$C$14*'설정'!$E$28,1)/$D54)^(-'설정'!$C$6),('설정'!$C$28*IF($A54&gt;=31,1+'설정'!$C$14*'설정'!$E$28,1)/$D54)^(-'설정'!$C$7))&gt;('설정'!$C$4+'설정'!$F$28),"실패",ROUND($E54*'설정'!$C$5*IF(('설정'!$C$28*IF($A54&gt;=31,1+'설정'!$C$14*'설정'!$E$28,1)/$D54)&lt;1,('설정'!$C$28*IF($A54&gt;=31,1+'설정'!$C$14*'설정'!$E$28,1)/$D54)^(-'설정'!$C$6),('설정'!$C$28*IF($A54&gt;=31,1+'설정'!$C$14*'설정'!$E$28,1)/$D54)^(-'설정'!$C$7)),0))</f>
        <v/>
      </c>
      <c r="O54" s="8">
        <f>IF($E54*'설정'!$C$5*IF(('설정'!$C$29*IF($A54&gt;=31,1+'설정'!$C$14*'설정'!$E$29,1)/$D54)&lt;1,('설정'!$C$29*IF($A54&gt;=31,1+'설정'!$C$14*'설정'!$E$29,1)/$D54)^(-'설정'!$C$6),('설정'!$C$29*IF($A54&gt;=31,1+'설정'!$C$14*'설정'!$E$29,1)/$D54)^(-'설정'!$C$7))&gt;('설정'!$C$4+'설정'!$F$29),"실패",ROUND($E54*'설정'!$C$5*IF(('설정'!$C$29*IF($A54&gt;=31,1+'설정'!$C$14*'설정'!$E$29,1)/$D54)&lt;1,('설정'!$C$29*IF($A54&gt;=31,1+'설정'!$C$14*'설정'!$E$29,1)/$D54)^(-'설정'!$C$6),('설정'!$C$29*IF($A54&gt;=31,1+'설정'!$C$14*'설정'!$E$29,1)/$D54)^(-'설정'!$C$7)),0))</f>
        <v/>
      </c>
      <c r="P54" s="8">
        <f>IF($E54*'설정'!$C$5*IF(('설정'!$C$30*IF($A54&gt;=31,1+'설정'!$C$14*'설정'!$E$30,1)/$D54)&lt;1,('설정'!$C$30*IF($A54&gt;=31,1+'설정'!$C$14*'설정'!$E$30,1)/$D54)^(-'설정'!$C$6),('설정'!$C$30*IF($A54&gt;=31,1+'설정'!$C$14*'설정'!$E$30,1)/$D54)^(-'설정'!$C$7))&gt;('설정'!$C$4+'설정'!$F$30),"실패",ROUND($E54*'설정'!$C$5*IF(('설정'!$C$30*IF($A54&gt;=31,1+'설정'!$C$14*'설정'!$E$30,1)/$D54)&lt;1,('설정'!$C$30*IF($A54&gt;=31,1+'설정'!$C$14*'설정'!$E$30,1)/$D54)^(-'설정'!$C$6),('설정'!$C$30*IF($A54&gt;=31,1+'설정'!$C$14*'설정'!$E$30,1)/$D54)^(-'설정'!$C$7)),0))</f>
        <v/>
      </c>
      <c r="Q54" s="8">
        <f>IF($E54*'설정'!$C$5*IF(('설정'!$C$31*IF($A54&gt;=31,1+'설정'!$C$14*'설정'!$E$31,1)/$D54)&lt;1,('설정'!$C$31*IF($A54&gt;=31,1+'설정'!$C$14*'설정'!$E$31,1)/$D54)^(-'설정'!$C$6),('설정'!$C$31*IF($A54&gt;=31,1+'설정'!$C$14*'설정'!$E$31,1)/$D54)^(-'설정'!$C$7))&gt;('설정'!$C$4+'설정'!$F$31),"실패",ROUND($E54*'설정'!$C$5*IF(('설정'!$C$31*IF($A54&gt;=31,1+'설정'!$C$14*'설정'!$E$31,1)/$D54)&lt;1,('설정'!$C$31*IF($A54&gt;=31,1+'설정'!$C$14*'설정'!$E$31,1)/$D54)^(-'설정'!$C$6),('설정'!$C$31*IF($A54&gt;=31,1+'설정'!$C$14*'설정'!$E$31,1)/$D54)^(-'설정'!$C$7)),0))</f>
        <v/>
      </c>
      <c r="R54" s="8">
        <f>IF($E54*'설정'!$C$5*IF(('설정'!$C$32*IF($A54&gt;=31,1+'설정'!$C$14*'설정'!$E$32,1)/$D54)&lt;1,('설정'!$C$32*IF($A54&gt;=31,1+'설정'!$C$14*'설정'!$E$32,1)/$D54)^(-'설정'!$C$6),('설정'!$C$32*IF($A54&gt;=31,1+'설정'!$C$14*'설정'!$E$32,1)/$D54)^(-'설정'!$C$7))&gt;('설정'!$C$4+'설정'!$F$32),"실패",ROUND($E54*'설정'!$C$5*IF(('설정'!$C$32*IF($A54&gt;=31,1+'설정'!$C$14*'설정'!$E$32,1)/$D54)&lt;1,('설정'!$C$32*IF($A54&gt;=31,1+'설정'!$C$14*'설정'!$E$32,1)/$D54)^(-'설정'!$C$6),('설정'!$C$32*IF($A54&gt;=31,1+'설정'!$C$14*'설정'!$E$32,1)/$D54)^(-'설정'!$C$7)),0))</f>
        <v/>
      </c>
      <c r="S54" s="8">
        <f>IF($E54*'설정'!$C$5*IF(('설정'!$C$33*IF($A54&gt;=31,1+'설정'!$C$14*'설정'!$E$33,1)/$D54)&lt;1,('설정'!$C$33*IF($A54&gt;=31,1+'설정'!$C$14*'설정'!$E$33,1)/$D54)^(-'설정'!$C$6),('설정'!$C$33*IF($A54&gt;=31,1+'설정'!$C$14*'설정'!$E$33,1)/$D54)^(-'설정'!$C$7))&gt;('설정'!$C$4+'설정'!$F$33),"실패",ROUND($E54*'설정'!$C$5*IF(('설정'!$C$33*IF($A54&gt;=31,1+'설정'!$C$14*'설정'!$E$33,1)/$D54)&lt;1,('설정'!$C$33*IF($A54&gt;=31,1+'설정'!$C$14*'설정'!$E$33,1)/$D54)^(-'설정'!$C$6),('설정'!$C$33*IF($A54&gt;=31,1+'설정'!$C$14*'설정'!$E$33,1)/$D54)^(-'설정'!$C$7)),0))</f>
        <v/>
      </c>
      <c r="T54" s="8">
        <f>IF($E54*'설정'!$C$5*IF(('설정'!$C$34*IF($A54&gt;=31,1+'설정'!$C$14*'설정'!$E$34,1)/$D54)&lt;1,('설정'!$C$34*IF($A54&gt;=31,1+'설정'!$C$14*'설정'!$E$34,1)/$D54)^(-'설정'!$C$6),('설정'!$C$34*IF($A54&gt;=31,1+'설정'!$C$14*'설정'!$E$34,1)/$D54)^(-'설정'!$C$7))&gt;('설정'!$C$4+'설정'!$F$34),"실패",ROUND($E54*'설정'!$C$5*IF(('설정'!$C$34*IF($A54&gt;=31,1+'설정'!$C$14*'설정'!$E$34,1)/$D54)&lt;1,('설정'!$C$34*IF($A54&gt;=31,1+'설정'!$C$14*'설정'!$E$34,1)/$D54)^(-'설정'!$C$6),('설정'!$C$34*IF($A54&gt;=31,1+'설정'!$C$14*'설정'!$E$34,1)/$D54)^(-'설정'!$C$7)),0))</f>
        <v/>
      </c>
      <c r="U54" s="8">
        <f>IF($E54*'설정'!$C$5*IF(('설정'!$C$35*IF($A54&gt;=31,1+'설정'!$C$14*'설정'!$E$35,1)/$D54)&lt;1,('설정'!$C$35*IF($A54&gt;=31,1+'설정'!$C$14*'설정'!$E$35,1)/$D54)^(-'설정'!$C$6),('설정'!$C$35*IF($A54&gt;=31,1+'설정'!$C$14*'설정'!$E$35,1)/$D54)^(-'설정'!$C$7))&gt;('설정'!$C$4+'설정'!$F$35),"실패",ROUND($E54*'설정'!$C$5*IF(('설정'!$C$35*IF($A54&gt;=31,1+'설정'!$C$14*'설정'!$E$35,1)/$D54)&lt;1,('설정'!$C$35*IF($A54&gt;=31,1+'설정'!$C$14*'설정'!$E$35,1)/$D54)^(-'설정'!$C$6),('설정'!$C$35*IF($A54&gt;=31,1+'설정'!$C$14*'설정'!$E$35,1)/$D54)^(-'설정'!$C$7)),0))</f>
        <v/>
      </c>
      <c r="V54" s="8">
        <f>IF($E54*'설정'!$C$5*IF(('설정'!$C$36*IF($A54&gt;=31,1+'설정'!$C$14*'설정'!$E$36,1)/$D54)&lt;1,('설정'!$C$36*IF($A54&gt;=31,1+'설정'!$C$14*'설정'!$E$36,1)/$D54)^(-'설정'!$C$6),('설정'!$C$36*IF($A54&gt;=31,1+'설정'!$C$14*'설정'!$E$36,1)/$D54)^(-'설정'!$C$7))&gt;('설정'!$C$4+'설정'!$F$36),"실패",ROUND($E54*'설정'!$C$5*IF(('설정'!$C$36*IF($A54&gt;=31,1+'설정'!$C$14*'설정'!$E$36,1)/$D54)&lt;1,('설정'!$C$36*IF($A54&gt;=31,1+'설정'!$C$14*'설정'!$E$36,1)/$D54)^(-'설정'!$C$6),('설정'!$C$36*IF($A54&gt;=31,1+'설정'!$C$14*'설정'!$E$36,1)/$D54)^(-'설정'!$C$7)),0))</f>
        <v/>
      </c>
      <c r="W54" s="8">
        <f>IF($E54*'설정'!$C$5*IF(('설정'!$C$37*IF($A54&gt;=31,1+'설정'!$C$14*'설정'!$E$37,1)/$D54)&lt;1,('설정'!$C$37*IF($A54&gt;=31,1+'설정'!$C$14*'설정'!$E$37,1)/$D54)^(-'설정'!$C$6),('설정'!$C$37*IF($A54&gt;=31,1+'설정'!$C$14*'설정'!$E$37,1)/$D54)^(-'설정'!$C$7))&gt;('설정'!$C$4+'설정'!$F$37),"실패",ROUND($E54*'설정'!$C$5*IF(('설정'!$C$37*IF($A54&gt;=31,1+'설정'!$C$14*'설정'!$E$37,1)/$D54)&lt;1,('설정'!$C$37*IF($A54&gt;=31,1+'설정'!$C$14*'설정'!$E$37,1)/$D54)^(-'설정'!$C$6),('설정'!$C$37*IF($A54&gt;=31,1+'설정'!$C$14*'설정'!$E$37,1)/$D54)^(-'설정'!$C$7)),0))</f>
        <v/>
      </c>
    </row>
    <row r="55">
      <c r="A55" t="n">
        <v>53</v>
      </c>
      <c r="B55" t="inlineStr">
        <is>
          <t>보통</t>
        </is>
      </c>
      <c r="C55" t="inlineStr"/>
      <c r="D55" s="6" t="n">
        <v>2470000</v>
      </c>
      <c r="E55" t="n">
        <v>72</v>
      </c>
      <c r="F55" s="6" t="n">
        <v>49400</v>
      </c>
      <c r="G55" t="n">
        <v>51</v>
      </c>
      <c r="H55" s="8">
        <f>IF($E55*'설정'!$C$5*IF(('설정'!$C$22*IF($A55&gt;=31,1+'설정'!$C$14*'설정'!$E$22,1)/$D55)&lt;1,('설정'!$C$22*IF($A55&gt;=31,1+'설정'!$C$14*'설정'!$E$22,1)/$D55)^(-'설정'!$C$6),('설정'!$C$22*IF($A55&gt;=31,1+'설정'!$C$14*'설정'!$E$22,1)/$D55)^(-'설정'!$C$7))&gt;('설정'!$C$4+'설정'!$F$22),"실패",ROUND($E55*'설정'!$C$5*IF(('설정'!$C$22*IF($A55&gt;=31,1+'설정'!$C$14*'설정'!$E$22,1)/$D55)&lt;1,('설정'!$C$22*IF($A55&gt;=31,1+'설정'!$C$14*'설정'!$E$22,1)/$D55)^(-'설정'!$C$6),('설정'!$C$22*IF($A55&gt;=31,1+'설정'!$C$14*'설정'!$E$22,1)/$D55)^(-'설정'!$C$7)),0))</f>
        <v/>
      </c>
      <c r="I55" s="8">
        <f>IF($E55*'설정'!$C$5*IF(('설정'!$C$23*IF($A55&gt;=31,1+'설정'!$C$14*'설정'!$E$23,1)/$D55)&lt;1,('설정'!$C$23*IF($A55&gt;=31,1+'설정'!$C$14*'설정'!$E$23,1)/$D55)^(-'설정'!$C$6),('설정'!$C$23*IF($A55&gt;=31,1+'설정'!$C$14*'설정'!$E$23,1)/$D55)^(-'설정'!$C$7))&gt;('설정'!$C$4+'설정'!$F$23),"실패",ROUND($E55*'설정'!$C$5*IF(('설정'!$C$23*IF($A55&gt;=31,1+'설정'!$C$14*'설정'!$E$23,1)/$D55)&lt;1,('설정'!$C$23*IF($A55&gt;=31,1+'설정'!$C$14*'설정'!$E$23,1)/$D55)^(-'설정'!$C$6),('설정'!$C$23*IF($A55&gt;=31,1+'설정'!$C$14*'설정'!$E$23,1)/$D55)^(-'설정'!$C$7)),0))</f>
        <v/>
      </c>
      <c r="J55" s="8">
        <f>IF($E55*'설정'!$C$5*IF(('설정'!$C$24*IF($A55&gt;=31,1+'설정'!$C$14*'설정'!$E$24,1)/$D55)&lt;1,('설정'!$C$24*IF($A55&gt;=31,1+'설정'!$C$14*'설정'!$E$24,1)/$D55)^(-'설정'!$C$6),('설정'!$C$24*IF($A55&gt;=31,1+'설정'!$C$14*'설정'!$E$24,1)/$D55)^(-'설정'!$C$7))&gt;('설정'!$C$4+'설정'!$F$24),"실패",ROUND($E55*'설정'!$C$5*IF(('설정'!$C$24*IF($A55&gt;=31,1+'설정'!$C$14*'설정'!$E$24,1)/$D55)&lt;1,('설정'!$C$24*IF($A55&gt;=31,1+'설정'!$C$14*'설정'!$E$24,1)/$D55)^(-'설정'!$C$6),('설정'!$C$24*IF($A55&gt;=31,1+'설정'!$C$14*'설정'!$E$24,1)/$D55)^(-'설정'!$C$7)),0))</f>
        <v/>
      </c>
      <c r="K55" s="8">
        <f>IF($E55*'설정'!$C$5*IF(('설정'!$C$25*IF($A55&gt;=31,1+'설정'!$C$14*'설정'!$E$25,1)/$D55)&lt;1,('설정'!$C$25*IF($A55&gt;=31,1+'설정'!$C$14*'설정'!$E$25,1)/$D55)^(-'설정'!$C$6),('설정'!$C$25*IF($A55&gt;=31,1+'설정'!$C$14*'설정'!$E$25,1)/$D55)^(-'설정'!$C$7))&gt;('설정'!$C$4+'설정'!$F$25),"실패",ROUND($E55*'설정'!$C$5*IF(('설정'!$C$25*IF($A55&gt;=31,1+'설정'!$C$14*'설정'!$E$25,1)/$D55)&lt;1,('설정'!$C$25*IF($A55&gt;=31,1+'설정'!$C$14*'설정'!$E$25,1)/$D55)^(-'설정'!$C$6),('설정'!$C$25*IF($A55&gt;=31,1+'설정'!$C$14*'설정'!$E$25,1)/$D55)^(-'설정'!$C$7)),0))</f>
        <v/>
      </c>
      <c r="L55" s="8">
        <f>IF($E55*'설정'!$C$5*IF(('설정'!$C$26*IF($A55&gt;=31,1+'설정'!$C$14*'설정'!$E$26,1)/$D55)&lt;1,('설정'!$C$26*IF($A55&gt;=31,1+'설정'!$C$14*'설정'!$E$26,1)/$D55)^(-'설정'!$C$6),('설정'!$C$26*IF($A55&gt;=31,1+'설정'!$C$14*'설정'!$E$26,1)/$D55)^(-'설정'!$C$7))&gt;('설정'!$C$4+'설정'!$F$26),"실패",ROUND($E55*'설정'!$C$5*IF(('설정'!$C$26*IF($A55&gt;=31,1+'설정'!$C$14*'설정'!$E$26,1)/$D55)&lt;1,('설정'!$C$26*IF($A55&gt;=31,1+'설정'!$C$14*'설정'!$E$26,1)/$D55)^(-'설정'!$C$6),('설정'!$C$26*IF($A55&gt;=31,1+'설정'!$C$14*'설정'!$E$26,1)/$D55)^(-'설정'!$C$7)),0))</f>
        <v/>
      </c>
      <c r="M55" s="8">
        <f>IF($E55*'설정'!$C$5*IF(('설정'!$C$27*IF($A55&gt;=31,1+'설정'!$C$14*'설정'!$E$27,1)/$D55)&lt;1,('설정'!$C$27*IF($A55&gt;=31,1+'설정'!$C$14*'설정'!$E$27,1)/$D55)^(-'설정'!$C$6),('설정'!$C$27*IF($A55&gt;=31,1+'설정'!$C$14*'설정'!$E$27,1)/$D55)^(-'설정'!$C$7))&gt;('설정'!$C$4+'설정'!$F$27),"실패",ROUND($E55*'설정'!$C$5*IF(('설정'!$C$27*IF($A55&gt;=31,1+'설정'!$C$14*'설정'!$E$27,1)/$D55)&lt;1,('설정'!$C$27*IF($A55&gt;=31,1+'설정'!$C$14*'설정'!$E$27,1)/$D55)^(-'설정'!$C$6),('설정'!$C$27*IF($A55&gt;=31,1+'설정'!$C$14*'설정'!$E$27,1)/$D55)^(-'설정'!$C$7)),0))</f>
        <v/>
      </c>
      <c r="N55" s="8">
        <f>IF($E55*'설정'!$C$5*IF(('설정'!$C$28*IF($A55&gt;=31,1+'설정'!$C$14*'설정'!$E$28,1)/$D55)&lt;1,('설정'!$C$28*IF($A55&gt;=31,1+'설정'!$C$14*'설정'!$E$28,1)/$D55)^(-'설정'!$C$6),('설정'!$C$28*IF($A55&gt;=31,1+'설정'!$C$14*'설정'!$E$28,1)/$D55)^(-'설정'!$C$7))&gt;('설정'!$C$4+'설정'!$F$28),"실패",ROUND($E55*'설정'!$C$5*IF(('설정'!$C$28*IF($A55&gt;=31,1+'설정'!$C$14*'설정'!$E$28,1)/$D55)&lt;1,('설정'!$C$28*IF($A55&gt;=31,1+'설정'!$C$14*'설정'!$E$28,1)/$D55)^(-'설정'!$C$6),('설정'!$C$28*IF($A55&gt;=31,1+'설정'!$C$14*'설정'!$E$28,1)/$D55)^(-'설정'!$C$7)),0))</f>
        <v/>
      </c>
      <c r="O55" s="8">
        <f>IF($E55*'설정'!$C$5*IF(('설정'!$C$29*IF($A55&gt;=31,1+'설정'!$C$14*'설정'!$E$29,1)/$D55)&lt;1,('설정'!$C$29*IF($A55&gt;=31,1+'설정'!$C$14*'설정'!$E$29,1)/$D55)^(-'설정'!$C$6),('설정'!$C$29*IF($A55&gt;=31,1+'설정'!$C$14*'설정'!$E$29,1)/$D55)^(-'설정'!$C$7))&gt;('설정'!$C$4+'설정'!$F$29),"실패",ROUND($E55*'설정'!$C$5*IF(('설정'!$C$29*IF($A55&gt;=31,1+'설정'!$C$14*'설정'!$E$29,1)/$D55)&lt;1,('설정'!$C$29*IF($A55&gt;=31,1+'설정'!$C$14*'설정'!$E$29,1)/$D55)^(-'설정'!$C$6),('설정'!$C$29*IF($A55&gt;=31,1+'설정'!$C$14*'설정'!$E$29,1)/$D55)^(-'설정'!$C$7)),0))</f>
        <v/>
      </c>
      <c r="P55" s="8">
        <f>IF($E55*'설정'!$C$5*IF(('설정'!$C$30*IF($A55&gt;=31,1+'설정'!$C$14*'설정'!$E$30,1)/$D55)&lt;1,('설정'!$C$30*IF($A55&gt;=31,1+'설정'!$C$14*'설정'!$E$30,1)/$D55)^(-'설정'!$C$6),('설정'!$C$30*IF($A55&gt;=31,1+'설정'!$C$14*'설정'!$E$30,1)/$D55)^(-'설정'!$C$7))&gt;('설정'!$C$4+'설정'!$F$30),"실패",ROUND($E55*'설정'!$C$5*IF(('설정'!$C$30*IF($A55&gt;=31,1+'설정'!$C$14*'설정'!$E$30,1)/$D55)&lt;1,('설정'!$C$30*IF($A55&gt;=31,1+'설정'!$C$14*'설정'!$E$30,1)/$D55)^(-'설정'!$C$6),('설정'!$C$30*IF($A55&gt;=31,1+'설정'!$C$14*'설정'!$E$30,1)/$D55)^(-'설정'!$C$7)),0))</f>
        <v/>
      </c>
      <c r="Q55" s="8">
        <f>IF($E55*'설정'!$C$5*IF(('설정'!$C$31*IF($A55&gt;=31,1+'설정'!$C$14*'설정'!$E$31,1)/$D55)&lt;1,('설정'!$C$31*IF($A55&gt;=31,1+'설정'!$C$14*'설정'!$E$31,1)/$D55)^(-'설정'!$C$6),('설정'!$C$31*IF($A55&gt;=31,1+'설정'!$C$14*'설정'!$E$31,1)/$D55)^(-'설정'!$C$7))&gt;('설정'!$C$4+'설정'!$F$31),"실패",ROUND($E55*'설정'!$C$5*IF(('설정'!$C$31*IF($A55&gt;=31,1+'설정'!$C$14*'설정'!$E$31,1)/$D55)&lt;1,('설정'!$C$31*IF($A55&gt;=31,1+'설정'!$C$14*'설정'!$E$31,1)/$D55)^(-'설정'!$C$6),('설정'!$C$31*IF($A55&gt;=31,1+'설정'!$C$14*'설정'!$E$31,1)/$D55)^(-'설정'!$C$7)),0))</f>
        <v/>
      </c>
      <c r="R55" s="8">
        <f>IF($E55*'설정'!$C$5*IF(('설정'!$C$32*IF($A55&gt;=31,1+'설정'!$C$14*'설정'!$E$32,1)/$D55)&lt;1,('설정'!$C$32*IF($A55&gt;=31,1+'설정'!$C$14*'설정'!$E$32,1)/$D55)^(-'설정'!$C$6),('설정'!$C$32*IF($A55&gt;=31,1+'설정'!$C$14*'설정'!$E$32,1)/$D55)^(-'설정'!$C$7))&gt;('설정'!$C$4+'설정'!$F$32),"실패",ROUND($E55*'설정'!$C$5*IF(('설정'!$C$32*IF($A55&gt;=31,1+'설정'!$C$14*'설정'!$E$32,1)/$D55)&lt;1,('설정'!$C$32*IF($A55&gt;=31,1+'설정'!$C$14*'설정'!$E$32,1)/$D55)^(-'설정'!$C$6),('설정'!$C$32*IF($A55&gt;=31,1+'설정'!$C$14*'설정'!$E$32,1)/$D55)^(-'설정'!$C$7)),0))</f>
        <v/>
      </c>
      <c r="S55" s="8">
        <f>IF($E55*'설정'!$C$5*IF(('설정'!$C$33*IF($A55&gt;=31,1+'설정'!$C$14*'설정'!$E$33,1)/$D55)&lt;1,('설정'!$C$33*IF($A55&gt;=31,1+'설정'!$C$14*'설정'!$E$33,1)/$D55)^(-'설정'!$C$6),('설정'!$C$33*IF($A55&gt;=31,1+'설정'!$C$14*'설정'!$E$33,1)/$D55)^(-'설정'!$C$7))&gt;('설정'!$C$4+'설정'!$F$33),"실패",ROUND($E55*'설정'!$C$5*IF(('설정'!$C$33*IF($A55&gt;=31,1+'설정'!$C$14*'설정'!$E$33,1)/$D55)&lt;1,('설정'!$C$33*IF($A55&gt;=31,1+'설정'!$C$14*'설정'!$E$33,1)/$D55)^(-'설정'!$C$6),('설정'!$C$33*IF($A55&gt;=31,1+'설정'!$C$14*'설정'!$E$33,1)/$D55)^(-'설정'!$C$7)),0))</f>
        <v/>
      </c>
      <c r="T55" s="8">
        <f>IF($E55*'설정'!$C$5*IF(('설정'!$C$34*IF($A55&gt;=31,1+'설정'!$C$14*'설정'!$E$34,1)/$D55)&lt;1,('설정'!$C$34*IF($A55&gt;=31,1+'설정'!$C$14*'설정'!$E$34,1)/$D55)^(-'설정'!$C$6),('설정'!$C$34*IF($A55&gt;=31,1+'설정'!$C$14*'설정'!$E$34,1)/$D55)^(-'설정'!$C$7))&gt;('설정'!$C$4+'설정'!$F$34),"실패",ROUND($E55*'설정'!$C$5*IF(('설정'!$C$34*IF($A55&gt;=31,1+'설정'!$C$14*'설정'!$E$34,1)/$D55)&lt;1,('설정'!$C$34*IF($A55&gt;=31,1+'설정'!$C$14*'설정'!$E$34,1)/$D55)^(-'설정'!$C$6),('설정'!$C$34*IF($A55&gt;=31,1+'설정'!$C$14*'설정'!$E$34,1)/$D55)^(-'설정'!$C$7)),0))</f>
        <v/>
      </c>
      <c r="U55" s="8">
        <f>IF($E55*'설정'!$C$5*IF(('설정'!$C$35*IF($A55&gt;=31,1+'설정'!$C$14*'설정'!$E$35,1)/$D55)&lt;1,('설정'!$C$35*IF($A55&gt;=31,1+'설정'!$C$14*'설정'!$E$35,1)/$D55)^(-'설정'!$C$6),('설정'!$C$35*IF($A55&gt;=31,1+'설정'!$C$14*'설정'!$E$35,1)/$D55)^(-'설정'!$C$7))&gt;('설정'!$C$4+'설정'!$F$35),"실패",ROUND($E55*'설정'!$C$5*IF(('설정'!$C$35*IF($A55&gt;=31,1+'설정'!$C$14*'설정'!$E$35,1)/$D55)&lt;1,('설정'!$C$35*IF($A55&gt;=31,1+'설정'!$C$14*'설정'!$E$35,1)/$D55)^(-'설정'!$C$6),('설정'!$C$35*IF($A55&gt;=31,1+'설정'!$C$14*'설정'!$E$35,1)/$D55)^(-'설정'!$C$7)),0))</f>
        <v/>
      </c>
      <c r="V55" s="8">
        <f>IF($E55*'설정'!$C$5*IF(('설정'!$C$36*IF($A55&gt;=31,1+'설정'!$C$14*'설정'!$E$36,1)/$D55)&lt;1,('설정'!$C$36*IF($A55&gt;=31,1+'설정'!$C$14*'설정'!$E$36,1)/$D55)^(-'설정'!$C$6),('설정'!$C$36*IF($A55&gt;=31,1+'설정'!$C$14*'설정'!$E$36,1)/$D55)^(-'설정'!$C$7))&gt;('설정'!$C$4+'설정'!$F$36),"실패",ROUND($E55*'설정'!$C$5*IF(('설정'!$C$36*IF($A55&gt;=31,1+'설정'!$C$14*'설정'!$E$36,1)/$D55)&lt;1,('설정'!$C$36*IF($A55&gt;=31,1+'설정'!$C$14*'설정'!$E$36,1)/$D55)^(-'설정'!$C$6),('설정'!$C$36*IF($A55&gt;=31,1+'설정'!$C$14*'설정'!$E$36,1)/$D55)^(-'설정'!$C$7)),0))</f>
        <v/>
      </c>
      <c r="W55" s="8">
        <f>IF($E55*'설정'!$C$5*IF(('설정'!$C$37*IF($A55&gt;=31,1+'설정'!$C$14*'설정'!$E$37,1)/$D55)&lt;1,('설정'!$C$37*IF($A55&gt;=31,1+'설정'!$C$14*'설정'!$E$37,1)/$D55)^(-'설정'!$C$6),('설정'!$C$37*IF($A55&gt;=31,1+'설정'!$C$14*'설정'!$E$37,1)/$D55)^(-'설정'!$C$7))&gt;('설정'!$C$4+'설정'!$F$37),"실패",ROUND($E55*'설정'!$C$5*IF(('설정'!$C$37*IF($A55&gt;=31,1+'설정'!$C$14*'설정'!$E$37,1)/$D55)&lt;1,('설정'!$C$37*IF($A55&gt;=31,1+'설정'!$C$14*'설정'!$E$37,1)/$D55)^(-'설정'!$C$6),('설정'!$C$37*IF($A55&gt;=31,1+'설정'!$C$14*'설정'!$E$37,1)/$D55)^(-'설정'!$C$7)),0))</f>
        <v/>
      </c>
    </row>
    <row r="56">
      <c r="A56" t="n">
        <v>54</v>
      </c>
      <c r="B56" t="inlineStr">
        <is>
          <t>보통</t>
        </is>
      </c>
      <c r="C56" t="inlineStr"/>
      <c r="D56" s="6" t="n">
        <v>2670000</v>
      </c>
      <c r="E56" t="n">
        <v>72</v>
      </c>
      <c r="F56" s="6" t="n">
        <v>53500</v>
      </c>
      <c r="G56" t="n">
        <v>51</v>
      </c>
      <c r="H56" s="8">
        <f>IF($E56*'설정'!$C$5*IF(('설정'!$C$22*IF($A56&gt;=31,1+'설정'!$C$14*'설정'!$E$22,1)/$D56)&lt;1,('설정'!$C$22*IF($A56&gt;=31,1+'설정'!$C$14*'설정'!$E$22,1)/$D56)^(-'설정'!$C$6),('설정'!$C$22*IF($A56&gt;=31,1+'설정'!$C$14*'설정'!$E$22,1)/$D56)^(-'설정'!$C$7))&gt;('설정'!$C$4+'설정'!$F$22),"실패",ROUND($E56*'설정'!$C$5*IF(('설정'!$C$22*IF($A56&gt;=31,1+'설정'!$C$14*'설정'!$E$22,1)/$D56)&lt;1,('설정'!$C$22*IF($A56&gt;=31,1+'설정'!$C$14*'설정'!$E$22,1)/$D56)^(-'설정'!$C$6),('설정'!$C$22*IF($A56&gt;=31,1+'설정'!$C$14*'설정'!$E$22,1)/$D56)^(-'설정'!$C$7)),0))</f>
        <v/>
      </c>
      <c r="I56" s="8">
        <f>IF($E56*'설정'!$C$5*IF(('설정'!$C$23*IF($A56&gt;=31,1+'설정'!$C$14*'설정'!$E$23,1)/$D56)&lt;1,('설정'!$C$23*IF($A56&gt;=31,1+'설정'!$C$14*'설정'!$E$23,1)/$D56)^(-'설정'!$C$6),('설정'!$C$23*IF($A56&gt;=31,1+'설정'!$C$14*'설정'!$E$23,1)/$D56)^(-'설정'!$C$7))&gt;('설정'!$C$4+'설정'!$F$23),"실패",ROUND($E56*'설정'!$C$5*IF(('설정'!$C$23*IF($A56&gt;=31,1+'설정'!$C$14*'설정'!$E$23,1)/$D56)&lt;1,('설정'!$C$23*IF($A56&gt;=31,1+'설정'!$C$14*'설정'!$E$23,1)/$D56)^(-'설정'!$C$6),('설정'!$C$23*IF($A56&gt;=31,1+'설정'!$C$14*'설정'!$E$23,1)/$D56)^(-'설정'!$C$7)),0))</f>
        <v/>
      </c>
      <c r="J56" s="8">
        <f>IF($E56*'설정'!$C$5*IF(('설정'!$C$24*IF($A56&gt;=31,1+'설정'!$C$14*'설정'!$E$24,1)/$D56)&lt;1,('설정'!$C$24*IF($A56&gt;=31,1+'설정'!$C$14*'설정'!$E$24,1)/$D56)^(-'설정'!$C$6),('설정'!$C$24*IF($A56&gt;=31,1+'설정'!$C$14*'설정'!$E$24,1)/$D56)^(-'설정'!$C$7))&gt;('설정'!$C$4+'설정'!$F$24),"실패",ROUND($E56*'설정'!$C$5*IF(('설정'!$C$24*IF($A56&gt;=31,1+'설정'!$C$14*'설정'!$E$24,1)/$D56)&lt;1,('설정'!$C$24*IF($A56&gt;=31,1+'설정'!$C$14*'설정'!$E$24,1)/$D56)^(-'설정'!$C$6),('설정'!$C$24*IF($A56&gt;=31,1+'설정'!$C$14*'설정'!$E$24,1)/$D56)^(-'설정'!$C$7)),0))</f>
        <v/>
      </c>
      <c r="K56" s="8">
        <f>IF($E56*'설정'!$C$5*IF(('설정'!$C$25*IF($A56&gt;=31,1+'설정'!$C$14*'설정'!$E$25,1)/$D56)&lt;1,('설정'!$C$25*IF($A56&gt;=31,1+'설정'!$C$14*'설정'!$E$25,1)/$D56)^(-'설정'!$C$6),('설정'!$C$25*IF($A56&gt;=31,1+'설정'!$C$14*'설정'!$E$25,1)/$D56)^(-'설정'!$C$7))&gt;('설정'!$C$4+'설정'!$F$25),"실패",ROUND($E56*'설정'!$C$5*IF(('설정'!$C$25*IF($A56&gt;=31,1+'설정'!$C$14*'설정'!$E$25,1)/$D56)&lt;1,('설정'!$C$25*IF($A56&gt;=31,1+'설정'!$C$14*'설정'!$E$25,1)/$D56)^(-'설정'!$C$6),('설정'!$C$25*IF($A56&gt;=31,1+'설정'!$C$14*'설정'!$E$25,1)/$D56)^(-'설정'!$C$7)),0))</f>
        <v/>
      </c>
      <c r="L56" s="8">
        <f>IF($E56*'설정'!$C$5*IF(('설정'!$C$26*IF($A56&gt;=31,1+'설정'!$C$14*'설정'!$E$26,1)/$D56)&lt;1,('설정'!$C$26*IF($A56&gt;=31,1+'설정'!$C$14*'설정'!$E$26,1)/$D56)^(-'설정'!$C$6),('설정'!$C$26*IF($A56&gt;=31,1+'설정'!$C$14*'설정'!$E$26,1)/$D56)^(-'설정'!$C$7))&gt;('설정'!$C$4+'설정'!$F$26),"실패",ROUND($E56*'설정'!$C$5*IF(('설정'!$C$26*IF($A56&gt;=31,1+'설정'!$C$14*'설정'!$E$26,1)/$D56)&lt;1,('설정'!$C$26*IF($A56&gt;=31,1+'설정'!$C$14*'설정'!$E$26,1)/$D56)^(-'설정'!$C$6),('설정'!$C$26*IF($A56&gt;=31,1+'설정'!$C$14*'설정'!$E$26,1)/$D56)^(-'설정'!$C$7)),0))</f>
        <v/>
      </c>
      <c r="M56" s="8">
        <f>IF($E56*'설정'!$C$5*IF(('설정'!$C$27*IF($A56&gt;=31,1+'설정'!$C$14*'설정'!$E$27,1)/$D56)&lt;1,('설정'!$C$27*IF($A56&gt;=31,1+'설정'!$C$14*'설정'!$E$27,1)/$D56)^(-'설정'!$C$6),('설정'!$C$27*IF($A56&gt;=31,1+'설정'!$C$14*'설정'!$E$27,1)/$D56)^(-'설정'!$C$7))&gt;('설정'!$C$4+'설정'!$F$27),"실패",ROUND($E56*'설정'!$C$5*IF(('설정'!$C$27*IF($A56&gt;=31,1+'설정'!$C$14*'설정'!$E$27,1)/$D56)&lt;1,('설정'!$C$27*IF($A56&gt;=31,1+'설정'!$C$14*'설정'!$E$27,1)/$D56)^(-'설정'!$C$6),('설정'!$C$27*IF($A56&gt;=31,1+'설정'!$C$14*'설정'!$E$27,1)/$D56)^(-'설정'!$C$7)),0))</f>
        <v/>
      </c>
      <c r="N56" s="8">
        <f>IF($E56*'설정'!$C$5*IF(('설정'!$C$28*IF($A56&gt;=31,1+'설정'!$C$14*'설정'!$E$28,1)/$D56)&lt;1,('설정'!$C$28*IF($A56&gt;=31,1+'설정'!$C$14*'설정'!$E$28,1)/$D56)^(-'설정'!$C$6),('설정'!$C$28*IF($A56&gt;=31,1+'설정'!$C$14*'설정'!$E$28,1)/$D56)^(-'설정'!$C$7))&gt;('설정'!$C$4+'설정'!$F$28),"실패",ROUND($E56*'설정'!$C$5*IF(('설정'!$C$28*IF($A56&gt;=31,1+'설정'!$C$14*'설정'!$E$28,1)/$D56)&lt;1,('설정'!$C$28*IF($A56&gt;=31,1+'설정'!$C$14*'설정'!$E$28,1)/$D56)^(-'설정'!$C$6),('설정'!$C$28*IF($A56&gt;=31,1+'설정'!$C$14*'설정'!$E$28,1)/$D56)^(-'설정'!$C$7)),0))</f>
        <v/>
      </c>
      <c r="O56" s="8">
        <f>IF($E56*'설정'!$C$5*IF(('설정'!$C$29*IF($A56&gt;=31,1+'설정'!$C$14*'설정'!$E$29,1)/$D56)&lt;1,('설정'!$C$29*IF($A56&gt;=31,1+'설정'!$C$14*'설정'!$E$29,1)/$D56)^(-'설정'!$C$6),('설정'!$C$29*IF($A56&gt;=31,1+'설정'!$C$14*'설정'!$E$29,1)/$D56)^(-'설정'!$C$7))&gt;('설정'!$C$4+'설정'!$F$29),"실패",ROUND($E56*'설정'!$C$5*IF(('설정'!$C$29*IF($A56&gt;=31,1+'설정'!$C$14*'설정'!$E$29,1)/$D56)&lt;1,('설정'!$C$29*IF($A56&gt;=31,1+'설정'!$C$14*'설정'!$E$29,1)/$D56)^(-'설정'!$C$6),('설정'!$C$29*IF($A56&gt;=31,1+'설정'!$C$14*'설정'!$E$29,1)/$D56)^(-'설정'!$C$7)),0))</f>
        <v/>
      </c>
      <c r="P56" s="8">
        <f>IF($E56*'설정'!$C$5*IF(('설정'!$C$30*IF($A56&gt;=31,1+'설정'!$C$14*'설정'!$E$30,1)/$D56)&lt;1,('설정'!$C$30*IF($A56&gt;=31,1+'설정'!$C$14*'설정'!$E$30,1)/$D56)^(-'설정'!$C$6),('설정'!$C$30*IF($A56&gt;=31,1+'설정'!$C$14*'설정'!$E$30,1)/$D56)^(-'설정'!$C$7))&gt;('설정'!$C$4+'설정'!$F$30),"실패",ROUND($E56*'설정'!$C$5*IF(('설정'!$C$30*IF($A56&gt;=31,1+'설정'!$C$14*'설정'!$E$30,1)/$D56)&lt;1,('설정'!$C$30*IF($A56&gt;=31,1+'설정'!$C$14*'설정'!$E$30,1)/$D56)^(-'설정'!$C$6),('설정'!$C$30*IF($A56&gt;=31,1+'설정'!$C$14*'설정'!$E$30,1)/$D56)^(-'설정'!$C$7)),0))</f>
        <v/>
      </c>
      <c r="Q56" s="8">
        <f>IF($E56*'설정'!$C$5*IF(('설정'!$C$31*IF($A56&gt;=31,1+'설정'!$C$14*'설정'!$E$31,1)/$D56)&lt;1,('설정'!$C$31*IF($A56&gt;=31,1+'설정'!$C$14*'설정'!$E$31,1)/$D56)^(-'설정'!$C$6),('설정'!$C$31*IF($A56&gt;=31,1+'설정'!$C$14*'설정'!$E$31,1)/$D56)^(-'설정'!$C$7))&gt;('설정'!$C$4+'설정'!$F$31),"실패",ROUND($E56*'설정'!$C$5*IF(('설정'!$C$31*IF($A56&gt;=31,1+'설정'!$C$14*'설정'!$E$31,1)/$D56)&lt;1,('설정'!$C$31*IF($A56&gt;=31,1+'설정'!$C$14*'설정'!$E$31,1)/$D56)^(-'설정'!$C$6),('설정'!$C$31*IF($A56&gt;=31,1+'설정'!$C$14*'설정'!$E$31,1)/$D56)^(-'설정'!$C$7)),0))</f>
        <v/>
      </c>
      <c r="R56" s="8">
        <f>IF($E56*'설정'!$C$5*IF(('설정'!$C$32*IF($A56&gt;=31,1+'설정'!$C$14*'설정'!$E$32,1)/$D56)&lt;1,('설정'!$C$32*IF($A56&gt;=31,1+'설정'!$C$14*'설정'!$E$32,1)/$D56)^(-'설정'!$C$6),('설정'!$C$32*IF($A56&gt;=31,1+'설정'!$C$14*'설정'!$E$32,1)/$D56)^(-'설정'!$C$7))&gt;('설정'!$C$4+'설정'!$F$32),"실패",ROUND($E56*'설정'!$C$5*IF(('설정'!$C$32*IF($A56&gt;=31,1+'설정'!$C$14*'설정'!$E$32,1)/$D56)&lt;1,('설정'!$C$32*IF($A56&gt;=31,1+'설정'!$C$14*'설정'!$E$32,1)/$D56)^(-'설정'!$C$6),('설정'!$C$32*IF($A56&gt;=31,1+'설정'!$C$14*'설정'!$E$32,1)/$D56)^(-'설정'!$C$7)),0))</f>
        <v/>
      </c>
      <c r="S56" s="8">
        <f>IF($E56*'설정'!$C$5*IF(('설정'!$C$33*IF($A56&gt;=31,1+'설정'!$C$14*'설정'!$E$33,1)/$D56)&lt;1,('설정'!$C$33*IF($A56&gt;=31,1+'설정'!$C$14*'설정'!$E$33,1)/$D56)^(-'설정'!$C$6),('설정'!$C$33*IF($A56&gt;=31,1+'설정'!$C$14*'설정'!$E$33,1)/$D56)^(-'설정'!$C$7))&gt;('설정'!$C$4+'설정'!$F$33),"실패",ROUND($E56*'설정'!$C$5*IF(('설정'!$C$33*IF($A56&gt;=31,1+'설정'!$C$14*'설정'!$E$33,1)/$D56)&lt;1,('설정'!$C$33*IF($A56&gt;=31,1+'설정'!$C$14*'설정'!$E$33,1)/$D56)^(-'설정'!$C$6),('설정'!$C$33*IF($A56&gt;=31,1+'설정'!$C$14*'설정'!$E$33,1)/$D56)^(-'설정'!$C$7)),0))</f>
        <v/>
      </c>
      <c r="T56" s="8">
        <f>IF($E56*'설정'!$C$5*IF(('설정'!$C$34*IF($A56&gt;=31,1+'설정'!$C$14*'설정'!$E$34,1)/$D56)&lt;1,('설정'!$C$34*IF($A56&gt;=31,1+'설정'!$C$14*'설정'!$E$34,1)/$D56)^(-'설정'!$C$6),('설정'!$C$34*IF($A56&gt;=31,1+'설정'!$C$14*'설정'!$E$34,1)/$D56)^(-'설정'!$C$7))&gt;('설정'!$C$4+'설정'!$F$34),"실패",ROUND($E56*'설정'!$C$5*IF(('설정'!$C$34*IF($A56&gt;=31,1+'설정'!$C$14*'설정'!$E$34,1)/$D56)&lt;1,('설정'!$C$34*IF($A56&gt;=31,1+'설정'!$C$14*'설정'!$E$34,1)/$D56)^(-'설정'!$C$6),('설정'!$C$34*IF($A56&gt;=31,1+'설정'!$C$14*'설정'!$E$34,1)/$D56)^(-'설정'!$C$7)),0))</f>
        <v/>
      </c>
      <c r="U56" s="8">
        <f>IF($E56*'설정'!$C$5*IF(('설정'!$C$35*IF($A56&gt;=31,1+'설정'!$C$14*'설정'!$E$35,1)/$D56)&lt;1,('설정'!$C$35*IF($A56&gt;=31,1+'설정'!$C$14*'설정'!$E$35,1)/$D56)^(-'설정'!$C$6),('설정'!$C$35*IF($A56&gt;=31,1+'설정'!$C$14*'설정'!$E$35,1)/$D56)^(-'설정'!$C$7))&gt;('설정'!$C$4+'설정'!$F$35),"실패",ROUND($E56*'설정'!$C$5*IF(('설정'!$C$35*IF($A56&gt;=31,1+'설정'!$C$14*'설정'!$E$35,1)/$D56)&lt;1,('설정'!$C$35*IF($A56&gt;=31,1+'설정'!$C$14*'설정'!$E$35,1)/$D56)^(-'설정'!$C$6),('설정'!$C$35*IF($A56&gt;=31,1+'설정'!$C$14*'설정'!$E$35,1)/$D56)^(-'설정'!$C$7)),0))</f>
        <v/>
      </c>
      <c r="V56" s="8">
        <f>IF($E56*'설정'!$C$5*IF(('설정'!$C$36*IF($A56&gt;=31,1+'설정'!$C$14*'설정'!$E$36,1)/$D56)&lt;1,('설정'!$C$36*IF($A56&gt;=31,1+'설정'!$C$14*'설정'!$E$36,1)/$D56)^(-'설정'!$C$6),('설정'!$C$36*IF($A56&gt;=31,1+'설정'!$C$14*'설정'!$E$36,1)/$D56)^(-'설정'!$C$7))&gt;('설정'!$C$4+'설정'!$F$36),"실패",ROUND($E56*'설정'!$C$5*IF(('설정'!$C$36*IF($A56&gt;=31,1+'설정'!$C$14*'설정'!$E$36,1)/$D56)&lt;1,('설정'!$C$36*IF($A56&gt;=31,1+'설정'!$C$14*'설정'!$E$36,1)/$D56)^(-'설정'!$C$6),('설정'!$C$36*IF($A56&gt;=31,1+'설정'!$C$14*'설정'!$E$36,1)/$D56)^(-'설정'!$C$7)),0))</f>
        <v/>
      </c>
      <c r="W56" s="8">
        <f>IF($E56*'설정'!$C$5*IF(('설정'!$C$37*IF($A56&gt;=31,1+'설정'!$C$14*'설정'!$E$37,1)/$D56)&lt;1,('설정'!$C$37*IF($A56&gt;=31,1+'설정'!$C$14*'설정'!$E$37,1)/$D56)^(-'설정'!$C$6),('설정'!$C$37*IF($A56&gt;=31,1+'설정'!$C$14*'설정'!$E$37,1)/$D56)^(-'설정'!$C$7))&gt;('설정'!$C$4+'설정'!$F$37),"실패",ROUND($E56*'설정'!$C$5*IF(('설정'!$C$37*IF($A56&gt;=31,1+'설정'!$C$14*'설정'!$E$37,1)/$D56)&lt;1,('설정'!$C$37*IF($A56&gt;=31,1+'설정'!$C$14*'설정'!$E$37,1)/$D56)^(-'설정'!$C$6),('설정'!$C$37*IF($A56&gt;=31,1+'설정'!$C$14*'설정'!$E$37,1)/$D56)^(-'설정'!$C$7)),0))</f>
        <v/>
      </c>
    </row>
    <row r="57">
      <c r="A57" t="n">
        <v>55</v>
      </c>
      <c r="B57" t="inlineStr">
        <is>
          <t>어려움</t>
        </is>
      </c>
      <c r="C57" t="inlineStr">
        <is>
          <t>보스</t>
        </is>
      </c>
      <c r="D57" s="6" t="n">
        <v>3330000</v>
      </c>
      <c r="E57" t="n">
        <v>90</v>
      </c>
      <c r="F57" s="6" t="n">
        <v>66600</v>
      </c>
      <c r="G57" t="n">
        <v>51</v>
      </c>
      <c r="H57" s="8">
        <f>IF($E57*'설정'!$C$5*IF(('설정'!$C$22*IF($A57&gt;=31,1+'설정'!$C$14*'설정'!$E$22,1)/$D57)&lt;1,('설정'!$C$22*IF($A57&gt;=31,1+'설정'!$C$14*'설정'!$E$22,1)/$D57)^(-'설정'!$C$6),('설정'!$C$22*IF($A57&gt;=31,1+'설정'!$C$14*'설정'!$E$22,1)/$D57)^(-'설정'!$C$7))&gt;('설정'!$C$4+'설정'!$F$22+'설정'!$G$22),"실패",ROUND($E57*'설정'!$C$5*IF(('설정'!$C$22*IF($A57&gt;=31,1+'설정'!$C$14*'설정'!$E$22,1)/$D57)&lt;1,('설정'!$C$22*IF($A57&gt;=31,1+'설정'!$C$14*'설정'!$E$22,1)/$D57)^(-'설정'!$C$6),('설정'!$C$22*IF($A57&gt;=31,1+'설정'!$C$14*'설정'!$E$22,1)/$D57)^(-'설정'!$C$7)),0))</f>
        <v/>
      </c>
      <c r="I57" s="8">
        <f>IF($E57*'설정'!$C$5*IF(('설정'!$C$23*IF($A57&gt;=31,1+'설정'!$C$14*'설정'!$E$23,1)/$D57)&lt;1,('설정'!$C$23*IF($A57&gt;=31,1+'설정'!$C$14*'설정'!$E$23,1)/$D57)^(-'설정'!$C$6),('설정'!$C$23*IF($A57&gt;=31,1+'설정'!$C$14*'설정'!$E$23,1)/$D57)^(-'설정'!$C$7))&gt;('설정'!$C$4+'설정'!$F$23+'설정'!$G$23),"실패",ROUND($E57*'설정'!$C$5*IF(('설정'!$C$23*IF($A57&gt;=31,1+'설정'!$C$14*'설정'!$E$23,1)/$D57)&lt;1,('설정'!$C$23*IF($A57&gt;=31,1+'설정'!$C$14*'설정'!$E$23,1)/$D57)^(-'설정'!$C$6),('설정'!$C$23*IF($A57&gt;=31,1+'설정'!$C$14*'설정'!$E$23,1)/$D57)^(-'설정'!$C$7)),0))</f>
        <v/>
      </c>
      <c r="J57" s="8">
        <f>IF($E57*'설정'!$C$5*IF(('설정'!$C$24*IF($A57&gt;=31,1+'설정'!$C$14*'설정'!$E$24,1)/$D57)&lt;1,('설정'!$C$24*IF($A57&gt;=31,1+'설정'!$C$14*'설정'!$E$24,1)/$D57)^(-'설정'!$C$6),('설정'!$C$24*IF($A57&gt;=31,1+'설정'!$C$14*'설정'!$E$24,1)/$D57)^(-'설정'!$C$7))&gt;('설정'!$C$4+'설정'!$F$24+'설정'!$G$24),"실패",ROUND($E57*'설정'!$C$5*IF(('설정'!$C$24*IF($A57&gt;=31,1+'설정'!$C$14*'설정'!$E$24,1)/$D57)&lt;1,('설정'!$C$24*IF($A57&gt;=31,1+'설정'!$C$14*'설정'!$E$24,1)/$D57)^(-'설정'!$C$6),('설정'!$C$24*IF($A57&gt;=31,1+'설정'!$C$14*'설정'!$E$24,1)/$D57)^(-'설정'!$C$7)),0))</f>
        <v/>
      </c>
      <c r="K57" s="8">
        <f>IF($E57*'설정'!$C$5*IF(('설정'!$C$25*IF($A57&gt;=31,1+'설정'!$C$14*'설정'!$E$25,1)/$D57)&lt;1,('설정'!$C$25*IF($A57&gt;=31,1+'설정'!$C$14*'설정'!$E$25,1)/$D57)^(-'설정'!$C$6),('설정'!$C$25*IF($A57&gt;=31,1+'설정'!$C$14*'설정'!$E$25,1)/$D57)^(-'설정'!$C$7))&gt;('설정'!$C$4+'설정'!$F$25+'설정'!$G$25),"실패",ROUND($E57*'설정'!$C$5*IF(('설정'!$C$25*IF($A57&gt;=31,1+'설정'!$C$14*'설정'!$E$25,1)/$D57)&lt;1,('설정'!$C$25*IF($A57&gt;=31,1+'설정'!$C$14*'설정'!$E$25,1)/$D57)^(-'설정'!$C$6),('설정'!$C$25*IF($A57&gt;=31,1+'설정'!$C$14*'설정'!$E$25,1)/$D57)^(-'설정'!$C$7)),0))</f>
        <v/>
      </c>
      <c r="L57" s="8">
        <f>IF($E57*'설정'!$C$5*IF(('설정'!$C$26*IF($A57&gt;=31,1+'설정'!$C$14*'설정'!$E$26,1)/$D57)&lt;1,('설정'!$C$26*IF($A57&gt;=31,1+'설정'!$C$14*'설정'!$E$26,1)/$D57)^(-'설정'!$C$6),('설정'!$C$26*IF($A57&gt;=31,1+'설정'!$C$14*'설정'!$E$26,1)/$D57)^(-'설정'!$C$7))&gt;('설정'!$C$4+'설정'!$F$26+'설정'!$G$26),"실패",ROUND($E57*'설정'!$C$5*IF(('설정'!$C$26*IF($A57&gt;=31,1+'설정'!$C$14*'설정'!$E$26,1)/$D57)&lt;1,('설정'!$C$26*IF($A57&gt;=31,1+'설정'!$C$14*'설정'!$E$26,1)/$D57)^(-'설정'!$C$6),('설정'!$C$26*IF($A57&gt;=31,1+'설정'!$C$14*'설정'!$E$26,1)/$D57)^(-'설정'!$C$7)),0))</f>
        <v/>
      </c>
      <c r="M57" s="8">
        <f>IF($E57*'설정'!$C$5*IF(('설정'!$C$27*IF($A57&gt;=31,1+'설정'!$C$14*'설정'!$E$27,1)/$D57)&lt;1,('설정'!$C$27*IF($A57&gt;=31,1+'설정'!$C$14*'설정'!$E$27,1)/$D57)^(-'설정'!$C$6),('설정'!$C$27*IF($A57&gt;=31,1+'설정'!$C$14*'설정'!$E$27,1)/$D57)^(-'설정'!$C$7))&gt;('설정'!$C$4+'설정'!$F$27+'설정'!$G$27),"실패",ROUND($E57*'설정'!$C$5*IF(('설정'!$C$27*IF($A57&gt;=31,1+'설정'!$C$14*'설정'!$E$27,1)/$D57)&lt;1,('설정'!$C$27*IF($A57&gt;=31,1+'설정'!$C$14*'설정'!$E$27,1)/$D57)^(-'설정'!$C$6),('설정'!$C$27*IF($A57&gt;=31,1+'설정'!$C$14*'설정'!$E$27,1)/$D57)^(-'설정'!$C$7)),0))</f>
        <v/>
      </c>
      <c r="N57" s="8">
        <f>IF($E57*'설정'!$C$5*IF(('설정'!$C$28*IF($A57&gt;=31,1+'설정'!$C$14*'설정'!$E$28,1)/$D57)&lt;1,('설정'!$C$28*IF($A57&gt;=31,1+'설정'!$C$14*'설정'!$E$28,1)/$D57)^(-'설정'!$C$6),('설정'!$C$28*IF($A57&gt;=31,1+'설정'!$C$14*'설정'!$E$28,1)/$D57)^(-'설정'!$C$7))&gt;('설정'!$C$4+'설정'!$F$28+'설정'!$G$28),"실패",ROUND($E57*'설정'!$C$5*IF(('설정'!$C$28*IF($A57&gt;=31,1+'설정'!$C$14*'설정'!$E$28,1)/$D57)&lt;1,('설정'!$C$28*IF($A57&gt;=31,1+'설정'!$C$14*'설정'!$E$28,1)/$D57)^(-'설정'!$C$6),('설정'!$C$28*IF($A57&gt;=31,1+'설정'!$C$14*'설정'!$E$28,1)/$D57)^(-'설정'!$C$7)),0))</f>
        <v/>
      </c>
      <c r="O57" s="8">
        <f>IF($E57*'설정'!$C$5*IF(('설정'!$C$29*IF($A57&gt;=31,1+'설정'!$C$14*'설정'!$E$29,1)/$D57)&lt;1,('설정'!$C$29*IF($A57&gt;=31,1+'설정'!$C$14*'설정'!$E$29,1)/$D57)^(-'설정'!$C$6),('설정'!$C$29*IF($A57&gt;=31,1+'설정'!$C$14*'설정'!$E$29,1)/$D57)^(-'설정'!$C$7))&gt;('설정'!$C$4+'설정'!$F$29+'설정'!$G$29),"실패",ROUND($E57*'설정'!$C$5*IF(('설정'!$C$29*IF($A57&gt;=31,1+'설정'!$C$14*'설정'!$E$29,1)/$D57)&lt;1,('설정'!$C$29*IF($A57&gt;=31,1+'설정'!$C$14*'설정'!$E$29,1)/$D57)^(-'설정'!$C$6),('설정'!$C$29*IF($A57&gt;=31,1+'설정'!$C$14*'설정'!$E$29,1)/$D57)^(-'설정'!$C$7)),0))</f>
        <v/>
      </c>
      <c r="P57" s="8">
        <f>IF($E57*'설정'!$C$5*IF(('설정'!$C$30*IF($A57&gt;=31,1+'설정'!$C$14*'설정'!$E$30,1)/$D57)&lt;1,('설정'!$C$30*IF($A57&gt;=31,1+'설정'!$C$14*'설정'!$E$30,1)/$D57)^(-'설정'!$C$6),('설정'!$C$30*IF($A57&gt;=31,1+'설정'!$C$14*'설정'!$E$30,1)/$D57)^(-'설정'!$C$7))&gt;('설정'!$C$4+'설정'!$F$30+'설정'!$G$30),"실패",ROUND($E57*'설정'!$C$5*IF(('설정'!$C$30*IF($A57&gt;=31,1+'설정'!$C$14*'설정'!$E$30,1)/$D57)&lt;1,('설정'!$C$30*IF($A57&gt;=31,1+'설정'!$C$14*'설정'!$E$30,1)/$D57)^(-'설정'!$C$6),('설정'!$C$30*IF($A57&gt;=31,1+'설정'!$C$14*'설정'!$E$30,1)/$D57)^(-'설정'!$C$7)),0))</f>
        <v/>
      </c>
      <c r="Q57" s="8">
        <f>IF($E57*'설정'!$C$5*IF(('설정'!$C$31*IF($A57&gt;=31,1+'설정'!$C$14*'설정'!$E$31,1)/$D57)&lt;1,('설정'!$C$31*IF($A57&gt;=31,1+'설정'!$C$14*'설정'!$E$31,1)/$D57)^(-'설정'!$C$6),('설정'!$C$31*IF($A57&gt;=31,1+'설정'!$C$14*'설정'!$E$31,1)/$D57)^(-'설정'!$C$7))&gt;('설정'!$C$4+'설정'!$F$31+'설정'!$G$31),"실패",ROUND($E57*'설정'!$C$5*IF(('설정'!$C$31*IF($A57&gt;=31,1+'설정'!$C$14*'설정'!$E$31,1)/$D57)&lt;1,('설정'!$C$31*IF($A57&gt;=31,1+'설정'!$C$14*'설정'!$E$31,1)/$D57)^(-'설정'!$C$6),('설정'!$C$31*IF($A57&gt;=31,1+'설정'!$C$14*'설정'!$E$31,1)/$D57)^(-'설정'!$C$7)),0))</f>
        <v/>
      </c>
      <c r="R57" s="8">
        <f>IF($E57*'설정'!$C$5*IF(('설정'!$C$32*IF($A57&gt;=31,1+'설정'!$C$14*'설정'!$E$32,1)/$D57)&lt;1,('설정'!$C$32*IF($A57&gt;=31,1+'설정'!$C$14*'설정'!$E$32,1)/$D57)^(-'설정'!$C$6),('설정'!$C$32*IF($A57&gt;=31,1+'설정'!$C$14*'설정'!$E$32,1)/$D57)^(-'설정'!$C$7))&gt;('설정'!$C$4+'설정'!$F$32+'설정'!$G$32),"실패",ROUND($E57*'설정'!$C$5*IF(('설정'!$C$32*IF($A57&gt;=31,1+'설정'!$C$14*'설정'!$E$32,1)/$D57)&lt;1,('설정'!$C$32*IF($A57&gt;=31,1+'설정'!$C$14*'설정'!$E$32,1)/$D57)^(-'설정'!$C$6),('설정'!$C$32*IF($A57&gt;=31,1+'설정'!$C$14*'설정'!$E$32,1)/$D57)^(-'설정'!$C$7)),0))</f>
        <v/>
      </c>
      <c r="S57" s="8">
        <f>IF($E57*'설정'!$C$5*IF(('설정'!$C$33*IF($A57&gt;=31,1+'설정'!$C$14*'설정'!$E$33,1)/$D57)&lt;1,('설정'!$C$33*IF($A57&gt;=31,1+'설정'!$C$14*'설정'!$E$33,1)/$D57)^(-'설정'!$C$6),('설정'!$C$33*IF($A57&gt;=31,1+'설정'!$C$14*'설정'!$E$33,1)/$D57)^(-'설정'!$C$7))&gt;('설정'!$C$4+'설정'!$F$33+'설정'!$G$33),"실패",ROUND($E57*'설정'!$C$5*IF(('설정'!$C$33*IF($A57&gt;=31,1+'설정'!$C$14*'설정'!$E$33,1)/$D57)&lt;1,('설정'!$C$33*IF($A57&gt;=31,1+'설정'!$C$14*'설정'!$E$33,1)/$D57)^(-'설정'!$C$6),('설정'!$C$33*IF($A57&gt;=31,1+'설정'!$C$14*'설정'!$E$33,1)/$D57)^(-'설정'!$C$7)),0))</f>
        <v/>
      </c>
      <c r="T57" s="8">
        <f>IF($E57*'설정'!$C$5*IF(('설정'!$C$34*IF($A57&gt;=31,1+'설정'!$C$14*'설정'!$E$34,1)/$D57)&lt;1,('설정'!$C$34*IF($A57&gt;=31,1+'설정'!$C$14*'설정'!$E$34,1)/$D57)^(-'설정'!$C$6),('설정'!$C$34*IF($A57&gt;=31,1+'설정'!$C$14*'설정'!$E$34,1)/$D57)^(-'설정'!$C$7))&gt;('설정'!$C$4+'설정'!$F$34+'설정'!$G$34),"실패",ROUND($E57*'설정'!$C$5*IF(('설정'!$C$34*IF($A57&gt;=31,1+'설정'!$C$14*'설정'!$E$34,1)/$D57)&lt;1,('설정'!$C$34*IF($A57&gt;=31,1+'설정'!$C$14*'설정'!$E$34,1)/$D57)^(-'설정'!$C$6),('설정'!$C$34*IF($A57&gt;=31,1+'설정'!$C$14*'설정'!$E$34,1)/$D57)^(-'설정'!$C$7)),0))</f>
        <v/>
      </c>
      <c r="U57" s="8">
        <f>IF($E57*'설정'!$C$5*IF(('설정'!$C$35*IF($A57&gt;=31,1+'설정'!$C$14*'설정'!$E$35,1)/$D57)&lt;1,('설정'!$C$35*IF($A57&gt;=31,1+'설정'!$C$14*'설정'!$E$35,1)/$D57)^(-'설정'!$C$6),('설정'!$C$35*IF($A57&gt;=31,1+'설정'!$C$14*'설정'!$E$35,1)/$D57)^(-'설정'!$C$7))&gt;('설정'!$C$4+'설정'!$F$35+'설정'!$G$35),"실패",ROUND($E57*'설정'!$C$5*IF(('설정'!$C$35*IF($A57&gt;=31,1+'설정'!$C$14*'설정'!$E$35,1)/$D57)&lt;1,('설정'!$C$35*IF($A57&gt;=31,1+'설정'!$C$14*'설정'!$E$35,1)/$D57)^(-'설정'!$C$6),('설정'!$C$35*IF($A57&gt;=31,1+'설정'!$C$14*'설정'!$E$35,1)/$D57)^(-'설정'!$C$7)),0))</f>
        <v/>
      </c>
      <c r="V57" s="8">
        <f>IF($E57*'설정'!$C$5*IF(('설정'!$C$36*IF($A57&gt;=31,1+'설정'!$C$14*'설정'!$E$36,1)/$D57)&lt;1,('설정'!$C$36*IF($A57&gt;=31,1+'설정'!$C$14*'설정'!$E$36,1)/$D57)^(-'설정'!$C$6),('설정'!$C$36*IF($A57&gt;=31,1+'설정'!$C$14*'설정'!$E$36,1)/$D57)^(-'설정'!$C$7))&gt;('설정'!$C$4+'설정'!$F$36+'설정'!$G$36),"실패",ROUND($E57*'설정'!$C$5*IF(('설정'!$C$36*IF($A57&gt;=31,1+'설정'!$C$14*'설정'!$E$36,1)/$D57)&lt;1,('설정'!$C$36*IF($A57&gt;=31,1+'설정'!$C$14*'설정'!$E$36,1)/$D57)^(-'설정'!$C$6),('설정'!$C$36*IF($A57&gt;=31,1+'설정'!$C$14*'설정'!$E$36,1)/$D57)^(-'설정'!$C$7)),0))</f>
        <v/>
      </c>
      <c r="W57" s="8">
        <f>IF($E57*'설정'!$C$5*IF(('설정'!$C$37*IF($A57&gt;=31,1+'설정'!$C$14*'설정'!$E$37,1)/$D57)&lt;1,('설정'!$C$37*IF($A57&gt;=31,1+'설정'!$C$14*'설정'!$E$37,1)/$D57)^(-'설정'!$C$6),('설정'!$C$37*IF($A57&gt;=31,1+'설정'!$C$14*'설정'!$E$37,1)/$D57)^(-'설정'!$C$7))&gt;('설정'!$C$4+'설정'!$F$37+'설정'!$G$37),"실패",ROUND($E57*'설정'!$C$5*IF(('설정'!$C$37*IF($A57&gt;=31,1+'설정'!$C$14*'설정'!$E$37,1)/$D57)&lt;1,('설정'!$C$37*IF($A57&gt;=31,1+'설정'!$C$14*'설정'!$E$37,1)/$D57)^(-'설정'!$C$6),('설정'!$C$37*IF($A57&gt;=31,1+'설정'!$C$14*'설정'!$E$37,1)/$D57)^(-'설정'!$C$7)),0))</f>
        <v/>
      </c>
    </row>
    <row r="58">
      <c r="A58" t="n">
        <v>56</v>
      </c>
      <c r="B58" t="inlineStr">
        <is>
          <t>보통</t>
        </is>
      </c>
      <c r="C58" t="inlineStr"/>
      <c r="D58" s="6" t="n">
        <v>3140000</v>
      </c>
      <c r="E58" t="n">
        <v>72</v>
      </c>
      <c r="F58" s="6" t="n">
        <v>62800</v>
      </c>
      <c r="G58" t="n">
        <v>52</v>
      </c>
      <c r="H58" s="8">
        <f>IF($E58*'설정'!$C$5*IF(('설정'!$C$22*IF($A58&gt;=31,1+'설정'!$C$14*'설정'!$E$22,1)/$D58)&lt;1,('설정'!$C$22*IF($A58&gt;=31,1+'설정'!$C$14*'설정'!$E$22,1)/$D58)^(-'설정'!$C$6),('설정'!$C$22*IF($A58&gt;=31,1+'설정'!$C$14*'설정'!$E$22,1)/$D58)^(-'설정'!$C$7))&gt;('설정'!$C$4+'설정'!$F$22),"실패",ROUND($E58*'설정'!$C$5*IF(('설정'!$C$22*IF($A58&gt;=31,1+'설정'!$C$14*'설정'!$E$22,1)/$D58)&lt;1,('설정'!$C$22*IF($A58&gt;=31,1+'설정'!$C$14*'설정'!$E$22,1)/$D58)^(-'설정'!$C$6),('설정'!$C$22*IF($A58&gt;=31,1+'설정'!$C$14*'설정'!$E$22,1)/$D58)^(-'설정'!$C$7)),0))</f>
        <v/>
      </c>
      <c r="I58" s="8">
        <f>IF($E58*'설정'!$C$5*IF(('설정'!$C$23*IF($A58&gt;=31,1+'설정'!$C$14*'설정'!$E$23,1)/$D58)&lt;1,('설정'!$C$23*IF($A58&gt;=31,1+'설정'!$C$14*'설정'!$E$23,1)/$D58)^(-'설정'!$C$6),('설정'!$C$23*IF($A58&gt;=31,1+'설정'!$C$14*'설정'!$E$23,1)/$D58)^(-'설정'!$C$7))&gt;('설정'!$C$4+'설정'!$F$23),"실패",ROUND($E58*'설정'!$C$5*IF(('설정'!$C$23*IF($A58&gt;=31,1+'설정'!$C$14*'설정'!$E$23,1)/$D58)&lt;1,('설정'!$C$23*IF($A58&gt;=31,1+'설정'!$C$14*'설정'!$E$23,1)/$D58)^(-'설정'!$C$6),('설정'!$C$23*IF($A58&gt;=31,1+'설정'!$C$14*'설정'!$E$23,1)/$D58)^(-'설정'!$C$7)),0))</f>
        <v/>
      </c>
      <c r="J58" s="8">
        <f>IF($E58*'설정'!$C$5*IF(('설정'!$C$24*IF($A58&gt;=31,1+'설정'!$C$14*'설정'!$E$24,1)/$D58)&lt;1,('설정'!$C$24*IF($A58&gt;=31,1+'설정'!$C$14*'설정'!$E$24,1)/$D58)^(-'설정'!$C$6),('설정'!$C$24*IF($A58&gt;=31,1+'설정'!$C$14*'설정'!$E$24,1)/$D58)^(-'설정'!$C$7))&gt;('설정'!$C$4+'설정'!$F$24),"실패",ROUND($E58*'설정'!$C$5*IF(('설정'!$C$24*IF($A58&gt;=31,1+'설정'!$C$14*'설정'!$E$24,1)/$D58)&lt;1,('설정'!$C$24*IF($A58&gt;=31,1+'설정'!$C$14*'설정'!$E$24,1)/$D58)^(-'설정'!$C$6),('설정'!$C$24*IF($A58&gt;=31,1+'설정'!$C$14*'설정'!$E$24,1)/$D58)^(-'설정'!$C$7)),0))</f>
        <v/>
      </c>
      <c r="K58" s="8">
        <f>IF($E58*'설정'!$C$5*IF(('설정'!$C$25*IF($A58&gt;=31,1+'설정'!$C$14*'설정'!$E$25,1)/$D58)&lt;1,('설정'!$C$25*IF($A58&gt;=31,1+'설정'!$C$14*'설정'!$E$25,1)/$D58)^(-'설정'!$C$6),('설정'!$C$25*IF($A58&gt;=31,1+'설정'!$C$14*'설정'!$E$25,1)/$D58)^(-'설정'!$C$7))&gt;('설정'!$C$4+'설정'!$F$25),"실패",ROUND($E58*'설정'!$C$5*IF(('설정'!$C$25*IF($A58&gt;=31,1+'설정'!$C$14*'설정'!$E$25,1)/$D58)&lt;1,('설정'!$C$25*IF($A58&gt;=31,1+'설정'!$C$14*'설정'!$E$25,1)/$D58)^(-'설정'!$C$6),('설정'!$C$25*IF($A58&gt;=31,1+'설정'!$C$14*'설정'!$E$25,1)/$D58)^(-'설정'!$C$7)),0))</f>
        <v/>
      </c>
      <c r="L58" s="8">
        <f>IF($E58*'설정'!$C$5*IF(('설정'!$C$26*IF($A58&gt;=31,1+'설정'!$C$14*'설정'!$E$26,1)/$D58)&lt;1,('설정'!$C$26*IF($A58&gt;=31,1+'설정'!$C$14*'설정'!$E$26,1)/$D58)^(-'설정'!$C$6),('설정'!$C$26*IF($A58&gt;=31,1+'설정'!$C$14*'설정'!$E$26,1)/$D58)^(-'설정'!$C$7))&gt;('설정'!$C$4+'설정'!$F$26),"실패",ROUND($E58*'설정'!$C$5*IF(('설정'!$C$26*IF($A58&gt;=31,1+'설정'!$C$14*'설정'!$E$26,1)/$D58)&lt;1,('설정'!$C$26*IF($A58&gt;=31,1+'설정'!$C$14*'설정'!$E$26,1)/$D58)^(-'설정'!$C$6),('설정'!$C$26*IF($A58&gt;=31,1+'설정'!$C$14*'설정'!$E$26,1)/$D58)^(-'설정'!$C$7)),0))</f>
        <v/>
      </c>
      <c r="M58" s="8">
        <f>IF($E58*'설정'!$C$5*IF(('설정'!$C$27*IF($A58&gt;=31,1+'설정'!$C$14*'설정'!$E$27,1)/$D58)&lt;1,('설정'!$C$27*IF($A58&gt;=31,1+'설정'!$C$14*'설정'!$E$27,1)/$D58)^(-'설정'!$C$6),('설정'!$C$27*IF($A58&gt;=31,1+'설정'!$C$14*'설정'!$E$27,1)/$D58)^(-'설정'!$C$7))&gt;('설정'!$C$4+'설정'!$F$27),"실패",ROUND($E58*'설정'!$C$5*IF(('설정'!$C$27*IF($A58&gt;=31,1+'설정'!$C$14*'설정'!$E$27,1)/$D58)&lt;1,('설정'!$C$27*IF($A58&gt;=31,1+'설정'!$C$14*'설정'!$E$27,1)/$D58)^(-'설정'!$C$6),('설정'!$C$27*IF($A58&gt;=31,1+'설정'!$C$14*'설정'!$E$27,1)/$D58)^(-'설정'!$C$7)),0))</f>
        <v/>
      </c>
      <c r="N58" s="8">
        <f>IF($E58*'설정'!$C$5*IF(('설정'!$C$28*IF($A58&gt;=31,1+'설정'!$C$14*'설정'!$E$28,1)/$D58)&lt;1,('설정'!$C$28*IF($A58&gt;=31,1+'설정'!$C$14*'설정'!$E$28,1)/$D58)^(-'설정'!$C$6),('설정'!$C$28*IF($A58&gt;=31,1+'설정'!$C$14*'설정'!$E$28,1)/$D58)^(-'설정'!$C$7))&gt;('설정'!$C$4+'설정'!$F$28),"실패",ROUND($E58*'설정'!$C$5*IF(('설정'!$C$28*IF($A58&gt;=31,1+'설정'!$C$14*'설정'!$E$28,1)/$D58)&lt;1,('설정'!$C$28*IF($A58&gt;=31,1+'설정'!$C$14*'설정'!$E$28,1)/$D58)^(-'설정'!$C$6),('설정'!$C$28*IF($A58&gt;=31,1+'설정'!$C$14*'설정'!$E$28,1)/$D58)^(-'설정'!$C$7)),0))</f>
        <v/>
      </c>
      <c r="O58" s="8">
        <f>IF($E58*'설정'!$C$5*IF(('설정'!$C$29*IF($A58&gt;=31,1+'설정'!$C$14*'설정'!$E$29,1)/$D58)&lt;1,('설정'!$C$29*IF($A58&gt;=31,1+'설정'!$C$14*'설정'!$E$29,1)/$D58)^(-'설정'!$C$6),('설정'!$C$29*IF($A58&gt;=31,1+'설정'!$C$14*'설정'!$E$29,1)/$D58)^(-'설정'!$C$7))&gt;('설정'!$C$4+'설정'!$F$29),"실패",ROUND($E58*'설정'!$C$5*IF(('설정'!$C$29*IF($A58&gt;=31,1+'설정'!$C$14*'설정'!$E$29,1)/$D58)&lt;1,('설정'!$C$29*IF($A58&gt;=31,1+'설정'!$C$14*'설정'!$E$29,1)/$D58)^(-'설정'!$C$6),('설정'!$C$29*IF($A58&gt;=31,1+'설정'!$C$14*'설정'!$E$29,1)/$D58)^(-'설정'!$C$7)),0))</f>
        <v/>
      </c>
      <c r="P58" s="8">
        <f>IF($E58*'설정'!$C$5*IF(('설정'!$C$30*IF($A58&gt;=31,1+'설정'!$C$14*'설정'!$E$30,1)/$D58)&lt;1,('설정'!$C$30*IF($A58&gt;=31,1+'설정'!$C$14*'설정'!$E$30,1)/$D58)^(-'설정'!$C$6),('설정'!$C$30*IF($A58&gt;=31,1+'설정'!$C$14*'설정'!$E$30,1)/$D58)^(-'설정'!$C$7))&gt;('설정'!$C$4+'설정'!$F$30),"실패",ROUND($E58*'설정'!$C$5*IF(('설정'!$C$30*IF($A58&gt;=31,1+'설정'!$C$14*'설정'!$E$30,1)/$D58)&lt;1,('설정'!$C$30*IF($A58&gt;=31,1+'설정'!$C$14*'설정'!$E$30,1)/$D58)^(-'설정'!$C$6),('설정'!$C$30*IF($A58&gt;=31,1+'설정'!$C$14*'설정'!$E$30,1)/$D58)^(-'설정'!$C$7)),0))</f>
        <v/>
      </c>
      <c r="Q58" s="8">
        <f>IF($E58*'설정'!$C$5*IF(('설정'!$C$31*IF($A58&gt;=31,1+'설정'!$C$14*'설정'!$E$31,1)/$D58)&lt;1,('설정'!$C$31*IF($A58&gt;=31,1+'설정'!$C$14*'설정'!$E$31,1)/$D58)^(-'설정'!$C$6),('설정'!$C$31*IF($A58&gt;=31,1+'설정'!$C$14*'설정'!$E$31,1)/$D58)^(-'설정'!$C$7))&gt;('설정'!$C$4+'설정'!$F$31),"실패",ROUND($E58*'설정'!$C$5*IF(('설정'!$C$31*IF($A58&gt;=31,1+'설정'!$C$14*'설정'!$E$31,1)/$D58)&lt;1,('설정'!$C$31*IF($A58&gt;=31,1+'설정'!$C$14*'설정'!$E$31,1)/$D58)^(-'설정'!$C$6),('설정'!$C$31*IF($A58&gt;=31,1+'설정'!$C$14*'설정'!$E$31,1)/$D58)^(-'설정'!$C$7)),0))</f>
        <v/>
      </c>
      <c r="R58" s="8">
        <f>IF($E58*'설정'!$C$5*IF(('설정'!$C$32*IF($A58&gt;=31,1+'설정'!$C$14*'설정'!$E$32,1)/$D58)&lt;1,('설정'!$C$32*IF($A58&gt;=31,1+'설정'!$C$14*'설정'!$E$32,1)/$D58)^(-'설정'!$C$6),('설정'!$C$32*IF($A58&gt;=31,1+'설정'!$C$14*'설정'!$E$32,1)/$D58)^(-'설정'!$C$7))&gt;('설정'!$C$4+'설정'!$F$32),"실패",ROUND($E58*'설정'!$C$5*IF(('설정'!$C$32*IF($A58&gt;=31,1+'설정'!$C$14*'설정'!$E$32,1)/$D58)&lt;1,('설정'!$C$32*IF($A58&gt;=31,1+'설정'!$C$14*'설정'!$E$32,1)/$D58)^(-'설정'!$C$6),('설정'!$C$32*IF($A58&gt;=31,1+'설정'!$C$14*'설정'!$E$32,1)/$D58)^(-'설정'!$C$7)),0))</f>
        <v/>
      </c>
      <c r="S58" s="8">
        <f>IF($E58*'설정'!$C$5*IF(('설정'!$C$33*IF($A58&gt;=31,1+'설정'!$C$14*'설정'!$E$33,1)/$D58)&lt;1,('설정'!$C$33*IF($A58&gt;=31,1+'설정'!$C$14*'설정'!$E$33,1)/$D58)^(-'설정'!$C$6),('설정'!$C$33*IF($A58&gt;=31,1+'설정'!$C$14*'설정'!$E$33,1)/$D58)^(-'설정'!$C$7))&gt;('설정'!$C$4+'설정'!$F$33),"실패",ROUND($E58*'설정'!$C$5*IF(('설정'!$C$33*IF($A58&gt;=31,1+'설정'!$C$14*'설정'!$E$33,1)/$D58)&lt;1,('설정'!$C$33*IF($A58&gt;=31,1+'설정'!$C$14*'설정'!$E$33,1)/$D58)^(-'설정'!$C$6),('설정'!$C$33*IF($A58&gt;=31,1+'설정'!$C$14*'설정'!$E$33,1)/$D58)^(-'설정'!$C$7)),0))</f>
        <v/>
      </c>
      <c r="T58" s="8">
        <f>IF($E58*'설정'!$C$5*IF(('설정'!$C$34*IF($A58&gt;=31,1+'설정'!$C$14*'설정'!$E$34,1)/$D58)&lt;1,('설정'!$C$34*IF($A58&gt;=31,1+'설정'!$C$14*'설정'!$E$34,1)/$D58)^(-'설정'!$C$6),('설정'!$C$34*IF($A58&gt;=31,1+'설정'!$C$14*'설정'!$E$34,1)/$D58)^(-'설정'!$C$7))&gt;('설정'!$C$4+'설정'!$F$34),"실패",ROUND($E58*'설정'!$C$5*IF(('설정'!$C$34*IF($A58&gt;=31,1+'설정'!$C$14*'설정'!$E$34,1)/$D58)&lt;1,('설정'!$C$34*IF($A58&gt;=31,1+'설정'!$C$14*'설정'!$E$34,1)/$D58)^(-'설정'!$C$6),('설정'!$C$34*IF($A58&gt;=31,1+'설정'!$C$14*'설정'!$E$34,1)/$D58)^(-'설정'!$C$7)),0))</f>
        <v/>
      </c>
      <c r="U58" s="8">
        <f>IF($E58*'설정'!$C$5*IF(('설정'!$C$35*IF($A58&gt;=31,1+'설정'!$C$14*'설정'!$E$35,1)/$D58)&lt;1,('설정'!$C$35*IF($A58&gt;=31,1+'설정'!$C$14*'설정'!$E$35,1)/$D58)^(-'설정'!$C$6),('설정'!$C$35*IF($A58&gt;=31,1+'설정'!$C$14*'설정'!$E$35,1)/$D58)^(-'설정'!$C$7))&gt;('설정'!$C$4+'설정'!$F$35),"실패",ROUND($E58*'설정'!$C$5*IF(('설정'!$C$35*IF($A58&gt;=31,1+'설정'!$C$14*'설정'!$E$35,1)/$D58)&lt;1,('설정'!$C$35*IF($A58&gt;=31,1+'설정'!$C$14*'설정'!$E$35,1)/$D58)^(-'설정'!$C$6),('설정'!$C$35*IF($A58&gt;=31,1+'설정'!$C$14*'설정'!$E$35,1)/$D58)^(-'설정'!$C$7)),0))</f>
        <v/>
      </c>
      <c r="V58" s="8">
        <f>IF($E58*'설정'!$C$5*IF(('설정'!$C$36*IF($A58&gt;=31,1+'설정'!$C$14*'설정'!$E$36,1)/$D58)&lt;1,('설정'!$C$36*IF($A58&gt;=31,1+'설정'!$C$14*'설정'!$E$36,1)/$D58)^(-'설정'!$C$6),('설정'!$C$36*IF($A58&gt;=31,1+'설정'!$C$14*'설정'!$E$36,1)/$D58)^(-'설정'!$C$7))&gt;('설정'!$C$4+'설정'!$F$36),"실패",ROUND($E58*'설정'!$C$5*IF(('설정'!$C$36*IF($A58&gt;=31,1+'설정'!$C$14*'설정'!$E$36,1)/$D58)&lt;1,('설정'!$C$36*IF($A58&gt;=31,1+'설정'!$C$14*'설정'!$E$36,1)/$D58)^(-'설정'!$C$6),('설정'!$C$36*IF($A58&gt;=31,1+'설정'!$C$14*'설정'!$E$36,1)/$D58)^(-'설정'!$C$7)),0))</f>
        <v/>
      </c>
      <c r="W58" s="8">
        <f>IF($E58*'설정'!$C$5*IF(('설정'!$C$37*IF($A58&gt;=31,1+'설정'!$C$14*'설정'!$E$37,1)/$D58)&lt;1,('설정'!$C$37*IF($A58&gt;=31,1+'설정'!$C$14*'설정'!$E$37,1)/$D58)^(-'설정'!$C$6),('설정'!$C$37*IF($A58&gt;=31,1+'설정'!$C$14*'설정'!$E$37,1)/$D58)^(-'설정'!$C$7))&gt;('설정'!$C$4+'설정'!$F$37),"실패",ROUND($E58*'설정'!$C$5*IF(('설정'!$C$37*IF($A58&gt;=31,1+'설정'!$C$14*'설정'!$E$37,1)/$D58)&lt;1,('설정'!$C$37*IF($A58&gt;=31,1+'설정'!$C$14*'설정'!$E$37,1)/$D58)^(-'설정'!$C$6),('설정'!$C$37*IF($A58&gt;=31,1+'설정'!$C$14*'설정'!$E$37,1)/$D58)^(-'설정'!$C$7)),0))</f>
        <v/>
      </c>
    </row>
    <row r="59">
      <c r="A59" t="n">
        <v>57</v>
      </c>
      <c r="B59" t="inlineStr">
        <is>
          <t>보통</t>
        </is>
      </c>
      <c r="C59" t="inlineStr"/>
      <c r="D59" s="6" t="n">
        <v>3400000</v>
      </c>
      <c r="E59" t="n">
        <v>72</v>
      </c>
      <c r="F59" s="6" t="n">
        <v>68000</v>
      </c>
      <c r="G59" t="n">
        <v>53</v>
      </c>
      <c r="H59" s="8">
        <f>IF($E59*'설정'!$C$5*IF(('설정'!$C$22*IF($A59&gt;=31,1+'설정'!$C$14*'설정'!$E$22,1)/$D59)&lt;1,('설정'!$C$22*IF($A59&gt;=31,1+'설정'!$C$14*'설정'!$E$22,1)/$D59)^(-'설정'!$C$6),('설정'!$C$22*IF($A59&gt;=31,1+'설정'!$C$14*'설정'!$E$22,1)/$D59)^(-'설정'!$C$7))&gt;('설정'!$C$4+'설정'!$F$22),"실패",ROUND($E59*'설정'!$C$5*IF(('설정'!$C$22*IF($A59&gt;=31,1+'설정'!$C$14*'설정'!$E$22,1)/$D59)&lt;1,('설정'!$C$22*IF($A59&gt;=31,1+'설정'!$C$14*'설정'!$E$22,1)/$D59)^(-'설정'!$C$6),('설정'!$C$22*IF($A59&gt;=31,1+'설정'!$C$14*'설정'!$E$22,1)/$D59)^(-'설정'!$C$7)),0))</f>
        <v/>
      </c>
      <c r="I59" s="8">
        <f>IF($E59*'설정'!$C$5*IF(('설정'!$C$23*IF($A59&gt;=31,1+'설정'!$C$14*'설정'!$E$23,1)/$D59)&lt;1,('설정'!$C$23*IF($A59&gt;=31,1+'설정'!$C$14*'설정'!$E$23,1)/$D59)^(-'설정'!$C$6),('설정'!$C$23*IF($A59&gt;=31,1+'설정'!$C$14*'설정'!$E$23,1)/$D59)^(-'설정'!$C$7))&gt;('설정'!$C$4+'설정'!$F$23),"실패",ROUND($E59*'설정'!$C$5*IF(('설정'!$C$23*IF($A59&gt;=31,1+'설정'!$C$14*'설정'!$E$23,1)/$D59)&lt;1,('설정'!$C$23*IF($A59&gt;=31,1+'설정'!$C$14*'설정'!$E$23,1)/$D59)^(-'설정'!$C$6),('설정'!$C$23*IF($A59&gt;=31,1+'설정'!$C$14*'설정'!$E$23,1)/$D59)^(-'설정'!$C$7)),0))</f>
        <v/>
      </c>
      <c r="J59" s="8">
        <f>IF($E59*'설정'!$C$5*IF(('설정'!$C$24*IF($A59&gt;=31,1+'설정'!$C$14*'설정'!$E$24,1)/$D59)&lt;1,('설정'!$C$24*IF($A59&gt;=31,1+'설정'!$C$14*'설정'!$E$24,1)/$D59)^(-'설정'!$C$6),('설정'!$C$24*IF($A59&gt;=31,1+'설정'!$C$14*'설정'!$E$24,1)/$D59)^(-'설정'!$C$7))&gt;('설정'!$C$4+'설정'!$F$24),"실패",ROUND($E59*'설정'!$C$5*IF(('설정'!$C$24*IF($A59&gt;=31,1+'설정'!$C$14*'설정'!$E$24,1)/$D59)&lt;1,('설정'!$C$24*IF($A59&gt;=31,1+'설정'!$C$14*'설정'!$E$24,1)/$D59)^(-'설정'!$C$6),('설정'!$C$24*IF($A59&gt;=31,1+'설정'!$C$14*'설정'!$E$24,1)/$D59)^(-'설정'!$C$7)),0))</f>
        <v/>
      </c>
      <c r="K59" s="8">
        <f>IF($E59*'설정'!$C$5*IF(('설정'!$C$25*IF($A59&gt;=31,1+'설정'!$C$14*'설정'!$E$25,1)/$D59)&lt;1,('설정'!$C$25*IF($A59&gt;=31,1+'설정'!$C$14*'설정'!$E$25,1)/$D59)^(-'설정'!$C$6),('설정'!$C$25*IF($A59&gt;=31,1+'설정'!$C$14*'설정'!$E$25,1)/$D59)^(-'설정'!$C$7))&gt;('설정'!$C$4+'설정'!$F$25),"실패",ROUND($E59*'설정'!$C$5*IF(('설정'!$C$25*IF($A59&gt;=31,1+'설정'!$C$14*'설정'!$E$25,1)/$D59)&lt;1,('설정'!$C$25*IF($A59&gt;=31,1+'설정'!$C$14*'설정'!$E$25,1)/$D59)^(-'설정'!$C$6),('설정'!$C$25*IF($A59&gt;=31,1+'설정'!$C$14*'설정'!$E$25,1)/$D59)^(-'설정'!$C$7)),0))</f>
        <v/>
      </c>
      <c r="L59" s="8">
        <f>IF($E59*'설정'!$C$5*IF(('설정'!$C$26*IF($A59&gt;=31,1+'설정'!$C$14*'설정'!$E$26,1)/$D59)&lt;1,('설정'!$C$26*IF($A59&gt;=31,1+'설정'!$C$14*'설정'!$E$26,1)/$D59)^(-'설정'!$C$6),('설정'!$C$26*IF($A59&gt;=31,1+'설정'!$C$14*'설정'!$E$26,1)/$D59)^(-'설정'!$C$7))&gt;('설정'!$C$4+'설정'!$F$26),"실패",ROUND($E59*'설정'!$C$5*IF(('설정'!$C$26*IF($A59&gt;=31,1+'설정'!$C$14*'설정'!$E$26,1)/$D59)&lt;1,('설정'!$C$26*IF($A59&gt;=31,1+'설정'!$C$14*'설정'!$E$26,1)/$D59)^(-'설정'!$C$6),('설정'!$C$26*IF($A59&gt;=31,1+'설정'!$C$14*'설정'!$E$26,1)/$D59)^(-'설정'!$C$7)),0))</f>
        <v/>
      </c>
      <c r="M59" s="8">
        <f>IF($E59*'설정'!$C$5*IF(('설정'!$C$27*IF($A59&gt;=31,1+'설정'!$C$14*'설정'!$E$27,1)/$D59)&lt;1,('설정'!$C$27*IF($A59&gt;=31,1+'설정'!$C$14*'설정'!$E$27,1)/$D59)^(-'설정'!$C$6),('설정'!$C$27*IF($A59&gt;=31,1+'설정'!$C$14*'설정'!$E$27,1)/$D59)^(-'설정'!$C$7))&gt;('설정'!$C$4+'설정'!$F$27),"실패",ROUND($E59*'설정'!$C$5*IF(('설정'!$C$27*IF($A59&gt;=31,1+'설정'!$C$14*'설정'!$E$27,1)/$D59)&lt;1,('설정'!$C$27*IF($A59&gt;=31,1+'설정'!$C$14*'설정'!$E$27,1)/$D59)^(-'설정'!$C$6),('설정'!$C$27*IF($A59&gt;=31,1+'설정'!$C$14*'설정'!$E$27,1)/$D59)^(-'설정'!$C$7)),0))</f>
        <v/>
      </c>
      <c r="N59" s="8">
        <f>IF($E59*'설정'!$C$5*IF(('설정'!$C$28*IF($A59&gt;=31,1+'설정'!$C$14*'설정'!$E$28,1)/$D59)&lt;1,('설정'!$C$28*IF($A59&gt;=31,1+'설정'!$C$14*'설정'!$E$28,1)/$D59)^(-'설정'!$C$6),('설정'!$C$28*IF($A59&gt;=31,1+'설정'!$C$14*'설정'!$E$28,1)/$D59)^(-'설정'!$C$7))&gt;('설정'!$C$4+'설정'!$F$28),"실패",ROUND($E59*'설정'!$C$5*IF(('설정'!$C$28*IF($A59&gt;=31,1+'설정'!$C$14*'설정'!$E$28,1)/$D59)&lt;1,('설정'!$C$28*IF($A59&gt;=31,1+'설정'!$C$14*'설정'!$E$28,1)/$D59)^(-'설정'!$C$6),('설정'!$C$28*IF($A59&gt;=31,1+'설정'!$C$14*'설정'!$E$28,1)/$D59)^(-'설정'!$C$7)),0))</f>
        <v/>
      </c>
      <c r="O59" s="8">
        <f>IF($E59*'설정'!$C$5*IF(('설정'!$C$29*IF($A59&gt;=31,1+'설정'!$C$14*'설정'!$E$29,1)/$D59)&lt;1,('설정'!$C$29*IF($A59&gt;=31,1+'설정'!$C$14*'설정'!$E$29,1)/$D59)^(-'설정'!$C$6),('설정'!$C$29*IF($A59&gt;=31,1+'설정'!$C$14*'설정'!$E$29,1)/$D59)^(-'설정'!$C$7))&gt;('설정'!$C$4+'설정'!$F$29),"실패",ROUND($E59*'설정'!$C$5*IF(('설정'!$C$29*IF($A59&gt;=31,1+'설정'!$C$14*'설정'!$E$29,1)/$D59)&lt;1,('설정'!$C$29*IF($A59&gt;=31,1+'설정'!$C$14*'설정'!$E$29,1)/$D59)^(-'설정'!$C$6),('설정'!$C$29*IF($A59&gt;=31,1+'설정'!$C$14*'설정'!$E$29,1)/$D59)^(-'설정'!$C$7)),0))</f>
        <v/>
      </c>
      <c r="P59" s="8">
        <f>IF($E59*'설정'!$C$5*IF(('설정'!$C$30*IF($A59&gt;=31,1+'설정'!$C$14*'설정'!$E$30,1)/$D59)&lt;1,('설정'!$C$30*IF($A59&gt;=31,1+'설정'!$C$14*'설정'!$E$30,1)/$D59)^(-'설정'!$C$6),('설정'!$C$30*IF($A59&gt;=31,1+'설정'!$C$14*'설정'!$E$30,1)/$D59)^(-'설정'!$C$7))&gt;('설정'!$C$4+'설정'!$F$30),"실패",ROUND($E59*'설정'!$C$5*IF(('설정'!$C$30*IF($A59&gt;=31,1+'설정'!$C$14*'설정'!$E$30,1)/$D59)&lt;1,('설정'!$C$30*IF($A59&gt;=31,1+'설정'!$C$14*'설정'!$E$30,1)/$D59)^(-'설정'!$C$6),('설정'!$C$30*IF($A59&gt;=31,1+'설정'!$C$14*'설정'!$E$30,1)/$D59)^(-'설정'!$C$7)),0))</f>
        <v/>
      </c>
      <c r="Q59" s="8">
        <f>IF($E59*'설정'!$C$5*IF(('설정'!$C$31*IF($A59&gt;=31,1+'설정'!$C$14*'설정'!$E$31,1)/$D59)&lt;1,('설정'!$C$31*IF($A59&gt;=31,1+'설정'!$C$14*'설정'!$E$31,1)/$D59)^(-'설정'!$C$6),('설정'!$C$31*IF($A59&gt;=31,1+'설정'!$C$14*'설정'!$E$31,1)/$D59)^(-'설정'!$C$7))&gt;('설정'!$C$4+'설정'!$F$31),"실패",ROUND($E59*'설정'!$C$5*IF(('설정'!$C$31*IF($A59&gt;=31,1+'설정'!$C$14*'설정'!$E$31,1)/$D59)&lt;1,('설정'!$C$31*IF($A59&gt;=31,1+'설정'!$C$14*'설정'!$E$31,1)/$D59)^(-'설정'!$C$6),('설정'!$C$31*IF($A59&gt;=31,1+'설정'!$C$14*'설정'!$E$31,1)/$D59)^(-'설정'!$C$7)),0))</f>
        <v/>
      </c>
      <c r="R59" s="8">
        <f>IF($E59*'설정'!$C$5*IF(('설정'!$C$32*IF($A59&gt;=31,1+'설정'!$C$14*'설정'!$E$32,1)/$D59)&lt;1,('설정'!$C$32*IF($A59&gt;=31,1+'설정'!$C$14*'설정'!$E$32,1)/$D59)^(-'설정'!$C$6),('설정'!$C$32*IF($A59&gt;=31,1+'설정'!$C$14*'설정'!$E$32,1)/$D59)^(-'설정'!$C$7))&gt;('설정'!$C$4+'설정'!$F$32),"실패",ROUND($E59*'설정'!$C$5*IF(('설정'!$C$32*IF($A59&gt;=31,1+'설정'!$C$14*'설정'!$E$32,1)/$D59)&lt;1,('설정'!$C$32*IF($A59&gt;=31,1+'설정'!$C$14*'설정'!$E$32,1)/$D59)^(-'설정'!$C$6),('설정'!$C$32*IF($A59&gt;=31,1+'설정'!$C$14*'설정'!$E$32,1)/$D59)^(-'설정'!$C$7)),0))</f>
        <v/>
      </c>
      <c r="S59" s="8">
        <f>IF($E59*'설정'!$C$5*IF(('설정'!$C$33*IF($A59&gt;=31,1+'설정'!$C$14*'설정'!$E$33,1)/$D59)&lt;1,('설정'!$C$33*IF($A59&gt;=31,1+'설정'!$C$14*'설정'!$E$33,1)/$D59)^(-'설정'!$C$6),('설정'!$C$33*IF($A59&gt;=31,1+'설정'!$C$14*'설정'!$E$33,1)/$D59)^(-'설정'!$C$7))&gt;('설정'!$C$4+'설정'!$F$33),"실패",ROUND($E59*'설정'!$C$5*IF(('설정'!$C$33*IF($A59&gt;=31,1+'설정'!$C$14*'설정'!$E$33,1)/$D59)&lt;1,('설정'!$C$33*IF($A59&gt;=31,1+'설정'!$C$14*'설정'!$E$33,1)/$D59)^(-'설정'!$C$6),('설정'!$C$33*IF($A59&gt;=31,1+'설정'!$C$14*'설정'!$E$33,1)/$D59)^(-'설정'!$C$7)),0))</f>
        <v/>
      </c>
      <c r="T59" s="8">
        <f>IF($E59*'설정'!$C$5*IF(('설정'!$C$34*IF($A59&gt;=31,1+'설정'!$C$14*'설정'!$E$34,1)/$D59)&lt;1,('설정'!$C$34*IF($A59&gt;=31,1+'설정'!$C$14*'설정'!$E$34,1)/$D59)^(-'설정'!$C$6),('설정'!$C$34*IF($A59&gt;=31,1+'설정'!$C$14*'설정'!$E$34,1)/$D59)^(-'설정'!$C$7))&gt;('설정'!$C$4+'설정'!$F$34),"실패",ROUND($E59*'설정'!$C$5*IF(('설정'!$C$34*IF($A59&gt;=31,1+'설정'!$C$14*'설정'!$E$34,1)/$D59)&lt;1,('설정'!$C$34*IF($A59&gt;=31,1+'설정'!$C$14*'설정'!$E$34,1)/$D59)^(-'설정'!$C$6),('설정'!$C$34*IF($A59&gt;=31,1+'설정'!$C$14*'설정'!$E$34,1)/$D59)^(-'설정'!$C$7)),0))</f>
        <v/>
      </c>
      <c r="U59" s="8">
        <f>IF($E59*'설정'!$C$5*IF(('설정'!$C$35*IF($A59&gt;=31,1+'설정'!$C$14*'설정'!$E$35,1)/$D59)&lt;1,('설정'!$C$35*IF($A59&gt;=31,1+'설정'!$C$14*'설정'!$E$35,1)/$D59)^(-'설정'!$C$6),('설정'!$C$35*IF($A59&gt;=31,1+'설정'!$C$14*'설정'!$E$35,1)/$D59)^(-'설정'!$C$7))&gt;('설정'!$C$4+'설정'!$F$35),"실패",ROUND($E59*'설정'!$C$5*IF(('설정'!$C$35*IF($A59&gt;=31,1+'설정'!$C$14*'설정'!$E$35,1)/$D59)&lt;1,('설정'!$C$35*IF($A59&gt;=31,1+'설정'!$C$14*'설정'!$E$35,1)/$D59)^(-'설정'!$C$6),('설정'!$C$35*IF($A59&gt;=31,1+'설정'!$C$14*'설정'!$E$35,1)/$D59)^(-'설정'!$C$7)),0))</f>
        <v/>
      </c>
      <c r="V59" s="8">
        <f>IF($E59*'설정'!$C$5*IF(('설정'!$C$36*IF($A59&gt;=31,1+'설정'!$C$14*'설정'!$E$36,1)/$D59)&lt;1,('설정'!$C$36*IF($A59&gt;=31,1+'설정'!$C$14*'설정'!$E$36,1)/$D59)^(-'설정'!$C$6),('설정'!$C$36*IF($A59&gt;=31,1+'설정'!$C$14*'설정'!$E$36,1)/$D59)^(-'설정'!$C$7))&gt;('설정'!$C$4+'설정'!$F$36),"실패",ROUND($E59*'설정'!$C$5*IF(('설정'!$C$36*IF($A59&gt;=31,1+'설정'!$C$14*'설정'!$E$36,1)/$D59)&lt;1,('설정'!$C$36*IF($A59&gt;=31,1+'설정'!$C$14*'설정'!$E$36,1)/$D59)^(-'설정'!$C$6),('설정'!$C$36*IF($A59&gt;=31,1+'설정'!$C$14*'설정'!$E$36,1)/$D59)^(-'설정'!$C$7)),0))</f>
        <v/>
      </c>
      <c r="W59" s="8">
        <f>IF($E59*'설정'!$C$5*IF(('설정'!$C$37*IF($A59&gt;=31,1+'설정'!$C$14*'설정'!$E$37,1)/$D59)&lt;1,('설정'!$C$37*IF($A59&gt;=31,1+'설정'!$C$14*'설정'!$E$37,1)/$D59)^(-'설정'!$C$6),('설정'!$C$37*IF($A59&gt;=31,1+'설정'!$C$14*'설정'!$E$37,1)/$D59)^(-'설정'!$C$7))&gt;('설정'!$C$4+'설정'!$F$37),"실패",ROUND($E59*'설정'!$C$5*IF(('설정'!$C$37*IF($A59&gt;=31,1+'설정'!$C$14*'설정'!$E$37,1)/$D59)&lt;1,('설정'!$C$37*IF($A59&gt;=31,1+'설정'!$C$14*'설정'!$E$37,1)/$D59)^(-'설정'!$C$6),('설정'!$C$37*IF($A59&gt;=31,1+'설정'!$C$14*'설정'!$E$37,1)/$D59)^(-'설정'!$C$7)),0))</f>
        <v/>
      </c>
    </row>
    <row r="60">
      <c r="A60" t="n">
        <v>58</v>
      </c>
      <c r="B60" t="inlineStr">
        <is>
          <t>보통</t>
        </is>
      </c>
      <c r="C60" t="inlineStr"/>
      <c r="D60" s="6" t="n">
        <v>3680000</v>
      </c>
      <c r="E60" t="n">
        <v>72</v>
      </c>
      <c r="F60" s="6" t="n">
        <v>73600</v>
      </c>
      <c r="G60" t="n">
        <v>54</v>
      </c>
      <c r="H60" s="8">
        <f>IF($E60*'설정'!$C$5*IF(('설정'!$C$22*IF($A60&gt;=31,1+'설정'!$C$14*'설정'!$E$22,1)/$D60)&lt;1,('설정'!$C$22*IF($A60&gt;=31,1+'설정'!$C$14*'설정'!$E$22,1)/$D60)^(-'설정'!$C$6),('설정'!$C$22*IF($A60&gt;=31,1+'설정'!$C$14*'설정'!$E$22,1)/$D60)^(-'설정'!$C$7))&gt;('설정'!$C$4+'설정'!$F$22),"실패",ROUND($E60*'설정'!$C$5*IF(('설정'!$C$22*IF($A60&gt;=31,1+'설정'!$C$14*'설정'!$E$22,1)/$D60)&lt;1,('설정'!$C$22*IF($A60&gt;=31,1+'설정'!$C$14*'설정'!$E$22,1)/$D60)^(-'설정'!$C$6),('설정'!$C$22*IF($A60&gt;=31,1+'설정'!$C$14*'설정'!$E$22,1)/$D60)^(-'설정'!$C$7)),0))</f>
        <v/>
      </c>
      <c r="I60" s="8">
        <f>IF($E60*'설정'!$C$5*IF(('설정'!$C$23*IF($A60&gt;=31,1+'설정'!$C$14*'설정'!$E$23,1)/$D60)&lt;1,('설정'!$C$23*IF($A60&gt;=31,1+'설정'!$C$14*'설정'!$E$23,1)/$D60)^(-'설정'!$C$6),('설정'!$C$23*IF($A60&gt;=31,1+'설정'!$C$14*'설정'!$E$23,1)/$D60)^(-'설정'!$C$7))&gt;('설정'!$C$4+'설정'!$F$23),"실패",ROUND($E60*'설정'!$C$5*IF(('설정'!$C$23*IF($A60&gt;=31,1+'설정'!$C$14*'설정'!$E$23,1)/$D60)&lt;1,('설정'!$C$23*IF($A60&gt;=31,1+'설정'!$C$14*'설정'!$E$23,1)/$D60)^(-'설정'!$C$6),('설정'!$C$23*IF($A60&gt;=31,1+'설정'!$C$14*'설정'!$E$23,1)/$D60)^(-'설정'!$C$7)),0))</f>
        <v/>
      </c>
      <c r="J60" s="8">
        <f>IF($E60*'설정'!$C$5*IF(('설정'!$C$24*IF($A60&gt;=31,1+'설정'!$C$14*'설정'!$E$24,1)/$D60)&lt;1,('설정'!$C$24*IF($A60&gt;=31,1+'설정'!$C$14*'설정'!$E$24,1)/$D60)^(-'설정'!$C$6),('설정'!$C$24*IF($A60&gt;=31,1+'설정'!$C$14*'설정'!$E$24,1)/$D60)^(-'설정'!$C$7))&gt;('설정'!$C$4+'설정'!$F$24),"실패",ROUND($E60*'설정'!$C$5*IF(('설정'!$C$24*IF($A60&gt;=31,1+'설정'!$C$14*'설정'!$E$24,1)/$D60)&lt;1,('설정'!$C$24*IF($A60&gt;=31,1+'설정'!$C$14*'설정'!$E$24,1)/$D60)^(-'설정'!$C$6),('설정'!$C$24*IF($A60&gt;=31,1+'설정'!$C$14*'설정'!$E$24,1)/$D60)^(-'설정'!$C$7)),0))</f>
        <v/>
      </c>
      <c r="K60" s="8">
        <f>IF($E60*'설정'!$C$5*IF(('설정'!$C$25*IF($A60&gt;=31,1+'설정'!$C$14*'설정'!$E$25,1)/$D60)&lt;1,('설정'!$C$25*IF($A60&gt;=31,1+'설정'!$C$14*'설정'!$E$25,1)/$D60)^(-'설정'!$C$6),('설정'!$C$25*IF($A60&gt;=31,1+'설정'!$C$14*'설정'!$E$25,1)/$D60)^(-'설정'!$C$7))&gt;('설정'!$C$4+'설정'!$F$25),"실패",ROUND($E60*'설정'!$C$5*IF(('설정'!$C$25*IF($A60&gt;=31,1+'설정'!$C$14*'설정'!$E$25,1)/$D60)&lt;1,('설정'!$C$25*IF($A60&gt;=31,1+'설정'!$C$14*'설정'!$E$25,1)/$D60)^(-'설정'!$C$6),('설정'!$C$25*IF($A60&gt;=31,1+'설정'!$C$14*'설정'!$E$25,1)/$D60)^(-'설정'!$C$7)),0))</f>
        <v/>
      </c>
      <c r="L60" s="8">
        <f>IF($E60*'설정'!$C$5*IF(('설정'!$C$26*IF($A60&gt;=31,1+'설정'!$C$14*'설정'!$E$26,1)/$D60)&lt;1,('설정'!$C$26*IF($A60&gt;=31,1+'설정'!$C$14*'설정'!$E$26,1)/$D60)^(-'설정'!$C$6),('설정'!$C$26*IF($A60&gt;=31,1+'설정'!$C$14*'설정'!$E$26,1)/$D60)^(-'설정'!$C$7))&gt;('설정'!$C$4+'설정'!$F$26),"실패",ROUND($E60*'설정'!$C$5*IF(('설정'!$C$26*IF($A60&gt;=31,1+'설정'!$C$14*'설정'!$E$26,1)/$D60)&lt;1,('설정'!$C$26*IF($A60&gt;=31,1+'설정'!$C$14*'설정'!$E$26,1)/$D60)^(-'설정'!$C$6),('설정'!$C$26*IF($A60&gt;=31,1+'설정'!$C$14*'설정'!$E$26,1)/$D60)^(-'설정'!$C$7)),0))</f>
        <v/>
      </c>
      <c r="M60" s="8">
        <f>IF($E60*'설정'!$C$5*IF(('설정'!$C$27*IF($A60&gt;=31,1+'설정'!$C$14*'설정'!$E$27,1)/$D60)&lt;1,('설정'!$C$27*IF($A60&gt;=31,1+'설정'!$C$14*'설정'!$E$27,1)/$D60)^(-'설정'!$C$6),('설정'!$C$27*IF($A60&gt;=31,1+'설정'!$C$14*'설정'!$E$27,1)/$D60)^(-'설정'!$C$7))&gt;('설정'!$C$4+'설정'!$F$27),"실패",ROUND($E60*'설정'!$C$5*IF(('설정'!$C$27*IF($A60&gt;=31,1+'설정'!$C$14*'설정'!$E$27,1)/$D60)&lt;1,('설정'!$C$27*IF($A60&gt;=31,1+'설정'!$C$14*'설정'!$E$27,1)/$D60)^(-'설정'!$C$6),('설정'!$C$27*IF($A60&gt;=31,1+'설정'!$C$14*'설정'!$E$27,1)/$D60)^(-'설정'!$C$7)),0))</f>
        <v/>
      </c>
      <c r="N60" s="8">
        <f>IF($E60*'설정'!$C$5*IF(('설정'!$C$28*IF($A60&gt;=31,1+'설정'!$C$14*'설정'!$E$28,1)/$D60)&lt;1,('설정'!$C$28*IF($A60&gt;=31,1+'설정'!$C$14*'설정'!$E$28,1)/$D60)^(-'설정'!$C$6),('설정'!$C$28*IF($A60&gt;=31,1+'설정'!$C$14*'설정'!$E$28,1)/$D60)^(-'설정'!$C$7))&gt;('설정'!$C$4+'설정'!$F$28),"실패",ROUND($E60*'설정'!$C$5*IF(('설정'!$C$28*IF($A60&gt;=31,1+'설정'!$C$14*'설정'!$E$28,1)/$D60)&lt;1,('설정'!$C$28*IF($A60&gt;=31,1+'설정'!$C$14*'설정'!$E$28,1)/$D60)^(-'설정'!$C$6),('설정'!$C$28*IF($A60&gt;=31,1+'설정'!$C$14*'설정'!$E$28,1)/$D60)^(-'설정'!$C$7)),0))</f>
        <v/>
      </c>
      <c r="O60" s="8">
        <f>IF($E60*'설정'!$C$5*IF(('설정'!$C$29*IF($A60&gt;=31,1+'설정'!$C$14*'설정'!$E$29,1)/$D60)&lt;1,('설정'!$C$29*IF($A60&gt;=31,1+'설정'!$C$14*'설정'!$E$29,1)/$D60)^(-'설정'!$C$6),('설정'!$C$29*IF($A60&gt;=31,1+'설정'!$C$14*'설정'!$E$29,1)/$D60)^(-'설정'!$C$7))&gt;('설정'!$C$4+'설정'!$F$29),"실패",ROUND($E60*'설정'!$C$5*IF(('설정'!$C$29*IF($A60&gt;=31,1+'설정'!$C$14*'설정'!$E$29,1)/$D60)&lt;1,('설정'!$C$29*IF($A60&gt;=31,1+'설정'!$C$14*'설정'!$E$29,1)/$D60)^(-'설정'!$C$6),('설정'!$C$29*IF($A60&gt;=31,1+'설정'!$C$14*'설정'!$E$29,1)/$D60)^(-'설정'!$C$7)),0))</f>
        <v/>
      </c>
      <c r="P60" s="8">
        <f>IF($E60*'설정'!$C$5*IF(('설정'!$C$30*IF($A60&gt;=31,1+'설정'!$C$14*'설정'!$E$30,1)/$D60)&lt;1,('설정'!$C$30*IF($A60&gt;=31,1+'설정'!$C$14*'설정'!$E$30,1)/$D60)^(-'설정'!$C$6),('설정'!$C$30*IF($A60&gt;=31,1+'설정'!$C$14*'설정'!$E$30,1)/$D60)^(-'설정'!$C$7))&gt;('설정'!$C$4+'설정'!$F$30),"실패",ROUND($E60*'설정'!$C$5*IF(('설정'!$C$30*IF($A60&gt;=31,1+'설정'!$C$14*'설정'!$E$30,1)/$D60)&lt;1,('설정'!$C$30*IF($A60&gt;=31,1+'설정'!$C$14*'설정'!$E$30,1)/$D60)^(-'설정'!$C$6),('설정'!$C$30*IF($A60&gt;=31,1+'설정'!$C$14*'설정'!$E$30,1)/$D60)^(-'설정'!$C$7)),0))</f>
        <v/>
      </c>
      <c r="Q60" s="8">
        <f>IF($E60*'설정'!$C$5*IF(('설정'!$C$31*IF($A60&gt;=31,1+'설정'!$C$14*'설정'!$E$31,1)/$D60)&lt;1,('설정'!$C$31*IF($A60&gt;=31,1+'설정'!$C$14*'설정'!$E$31,1)/$D60)^(-'설정'!$C$6),('설정'!$C$31*IF($A60&gt;=31,1+'설정'!$C$14*'설정'!$E$31,1)/$D60)^(-'설정'!$C$7))&gt;('설정'!$C$4+'설정'!$F$31),"실패",ROUND($E60*'설정'!$C$5*IF(('설정'!$C$31*IF($A60&gt;=31,1+'설정'!$C$14*'설정'!$E$31,1)/$D60)&lt;1,('설정'!$C$31*IF($A60&gt;=31,1+'설정'!$C$14*'설정'!$E$31,1)/$D60)^(-'설정'!$C$6),('설정'!$C$31*IF($A60&gt;=31,1+'설정'!$C$14*'설정'!$E$31,1)/$D60)^(-'설정'!$C$7)),0))</f>
        <v/>
      </c>
      <c r="R60" s="8">
        <f>IF($E60*'설정'!$C$5*IF(('설정'!$C$32*IF($A60&gt;=31,1+'설정'!$C$14*'설정'!$E$32,1)/$D60)&lt;1,('설정'!$C$32*IF($A60&gt;=31,1+'설정'!$C$14*'설정'!$E$32,1)/$D60)^(-'설정'!$C$6),('설정'!$C$32*IF($A60&gt;=31,1+'설정'!$C$14*'설정'!$E$32,1)/$D60)^(-'설정'!$C$7))&gt;('설정'!$C$4+'설정'!$F$32),"실패",ROUND($E60*'설정'!$C$5*IF(('설정'!$C$32*IF($A60&gt;=31,1+'설정'!$C$14*'설정'!$E$32,1)/$D60)&lt;1,('설정'!$C$32*IF($A60&gt;=31,1+'설정'!$C$14*'설정'!$E$32,1)/$D60)^(-'설정'!$C$6),('설정'!$C$32*IF($A60&gt;=31,1+'설정'!$C$14*'설정'!$E$32,1)/$D60)^(-'설정'!$C$7)),0))</f>
        <v/>
      </c>
      <c r="S60" s="8">
        <f>IF($E60*'설정'!$C$5*IF(('설정'!$C$33*IF($A60&gt;=31,1+'설정'!$C$14*'설정'!$E$33,1)/$D60)&lt;1,('설정'!$C$33*IF($A60&gt;=31,1+'설정'!$C$14*'설정'!$E$33,1)/$D60)^(-'설정'!$C$6),('설정'!$C$33*IF($A60&gt;=31,1+'설정'!$C$14*'설정'!$E$33,1)/$D60)^(-'설정'!$C$7))&gt;('설정'!$C$4+'설정'!$F$33),"실패",ROUND($E60*'설정'!$C$5*IF(('설정'!$C$33*IF($A60&gt;=31,1+'설정'!$C$14*'설정'!$E$33,1)/$D60)&lt;1,('설정'!$C$33*IF($A60&gt;=31,1+'설정'!$C$14*'설정'!$E$33,1)/$D60)^(-'설정'!$C$6),('설정'!$C$33*IF($A60&gt;=31,1+'설정'!$C$14*'설정'!$E$33,1)/$D60)^(-'설정'!$C$7)),0))</f>
        <v/>
      </c>
      <c r="T60" s="8">
        <f>IF($E60*'설정'!$C$5*IF(('설정'!$C$34*IF($A60&gt;=31,1+'설정'!$C$14*'설정'!$E$34,1)/$D60)&lt;1,('설정'!$C$34*IF($A60&gt;=31,1+'설정'!$C$14*'설정'!$E$34,1)/$D60)^(-'설정'!$C$6),('설정'!$C$34*IF($A60&gt;=31,1+'설정'!$C$14*'설정'!$E$34,1)/$D60)^(-'설정'!$C$7))&gt;('설정'!$C$4+'설정'!$F$34),"실패",ROUND($E60*'설정'!$C$5*IF(('설정'!$C$34*IF($A60&gt;=31,1+'설정'!$C$14*'설정'!$E$34,1)/$D60)&lt;1,('설정'!$C$34*IF($A60&gt;=31,1+'설정'!$C$14*'설정'!$E$34,1)/$D60)^(-'설정'!$C$6),('설정'!$C$34*IF($A60&gt;=31,1+'설정'!$C$14*'설정'!$E$34,1)/$D60)^(-'설정'!$C$7)),0))</f>
        <v/>
      </c>
      <c r="U60" s="8">
        <f>IF($E60*'설정'!$C$5*IF(('설정'!$C$35*IF($A60&gt;=31,1+'설정'!$C$14*'설정'!$E$35,1)/$D60)&lt;1,('설정'!$C$35*IF($A60&gt;=31,1+'설정'!$C$14*'설정'!$E$35,1)/$D60)^(-'설정'!$C$6),('설정'!$C$35*IF($A60&gt;=31,1+'설정'!$C$14*'설정'!$E$35,1)/$D60)^(-'설정'!$C$7))&gt;('설정'!$C$4+'설정'!$F$35),"실패",ROUND($E60*'설정'!$C$5*IF(('설정'!$C$35*IF($A60&gt;=31,1+'설정'!$C$14*'설정'!$E$35,1)/$D60)&lt;1,('설정'!$C$35*IF($A60&gt;=31,1+'설정'!$C$14*'설정'!$E$35,1)/$D60)^(-'설정'!$C$6),('설정'!$C$35*IF($A60&gt;=31,1+'설정'!$C$14*'설정'!$E$35,1)/$D60)^(-'설정'!$C$7)),0))</f>
        <v/>
      </c>
      <c r="V60" s="8">
        <f>IF($E60*'설정'!$C$5*IF(('설정'!$C$36*IF($A60&gt;=31,1+'설정'!$C$14*'설정'!$E$36,1)/$D60)&lt;1,('설정'!$C$36*IF($A60&gt;=31,1+'설정'!$C$14*'설정'!$E$36,1)/$D60)^(-'설정'!$C$6),('설정'!$C$36*IF($A60&gt;=31,1+'설정'!$C$14*'설정'!$E$36,1)/$D60)^(-'설정'!$C$7))&gt;('설정'!$C$4+'설정'!$F$36),"실패",ROUND($E60*'설정'!$C$5*IF(('설정'!$C$36*IF($A60&gt;=31,1+'설정'!$C$14*'설정'!$E$36,1)/$D60)&lt;1,('설정'!$C$36*IF($A60&gt;=31,1+'설정'!$C$14*'설정'!$E$36,1)/$D60)^(-'설정'!$C$6),('설정'!$C$36*IF($A60&gt;=31,1+'설정'!$C$14*'설정'!$E$36,1)/$D60)^(-'설정'!$C$7)),0))</f>
        <v/>
      </c>
      <c r="W60" s="8">
        <f>IF($E60*'설정'!$C$5*IF(('설정'!$C$37*IF($A60&gt;=31,1+'설정'!$C$14*'설정'!$E$37,1)/$D60)&lt;1,('설정'!$C$37*IF($A60&gt;=31,1+'설정'!$C$14*'설정'!$E$37,1)/$D60)^(-'설정'!$C$6),('설정'!$C$37*IF($A60&gt;=31,1+'설정'!$C$14*'설정'!$E$37,1)/$D60)^(-'설정'!$C$7))&gt;('설정'!$C$4+'설정'!$F$37),"실패",ROUND($E60*'설정'!$C$5*IF(('설정'!$C$37*IF($A60&gt;=31,1+'설정'!$C$14*'설정'!$E$37,1)/$D60)&lt;1,('설정'!$C$37*IF($A60&gt;=31,1+'설정'!$C$14*'설정'!$E$37,1)/$D60)^(-'설정'!$C$6),('설정'!$C$37*IF($A60&gt;=31,1+'설정'!$C$14*'설정'!$E$37,1)/$D60)^(-'설정'!$C$7)),0))</f>
        <v/>
      </c>
    </row>
    <row r="61">
      <c r="A61" t="n">
        <v>59</v>
      </c>
      <c r="B61" t="inlineStr">
        <is>
          <t>어려움</t>
        </is>
      </c>
      <c r="C61" t="inlineStr"/>
      <c r="D61" s="6" t="n">
        <v>3990000</v>
      </c>
      <c r="E61" t="n">
        <v>90</v>
      </c>
      <c r="F61" s="6" t="n">
        <v>79800</v>
      </c>
      <c r="G61" t="n">
        <v>55</v>
      </c>
      <c r="H61" s="8">
        <f>IF($E61*'설정'!$C$5*IF(('설정'!$C$22*IF($A61&gt;=31,1+'설정'!$C$14*'설정'!$E$22,1)/$D61)&lt;1,('설정'!$C$22*IF($A61&gt;=31,1+'설정'!$C$14*'설정'!$E$22,1)/$D61)^(-'설정'!$C$6),('설정'!$C$22*IF($A61&gt;=31,1+'설정'!$C$14*'설정'!$E$22,1)/$D61)^(-'설정'!$C$7))&gt;('설정'!$C$4+'설정'!$F$22),"실패",ROUND($E61*'설정'!$C$5*IF(('설정'!$C$22*IF($A61&gt;=31,1+'설정'!$C$14*'설정'!$E$22,1)/$D61)&lt;1,('설정'!$C$22*IF($A61&gt;=31,1+'설정'!$C$14*'설정'!$E$22,1)/$D61)^(-'설정'!$C$6),('설정'!$C$22*IF($A61&gt;=31,1+'설정'!$C$14*'설정'!$E$22,1)/$D61)^(-'설정'!$C$7)),0))</f>
        <v/>
      </c>
      <c r="I61" s="8">
        <f>IF($E61*'설정'!$C$5*IF(('설정'!$C$23*IF($A61&gt;=31,1+'설정'!$C$14*'설정'!$E$23,1)/$D61)&lt;1,('설정'!$C$23*IF($A61&gt;=31,1+'설정'!$C$14*'설정'!$E$23,1)/$D61)^(-'설정'!$C$6),('설정'!$C$23*IF($A61&gt;=31,1+'설정'!$C$14*'설정'!$E$23,1)/$D61)^(-'설정'!$C$7))&gt;('설정'!$C$4+'설정'!$F$23),"실패",ROUND($E61*'설정'!$C$5*IF(('설정'!$C$23*IF($A61&gt;=31,1+'설정'!$C$14*'설정'!$E$23,1)/$D61)&lt;1,('설정'!$C$23*IF($A61&gt;=31,1+'설정'!$C$14*'설정'!$E$23,1)/$D61)^(-'설정'!$C$6),('설정'!$C$23*IF($A61&gt;=31,1+'설정'!$C$14*'설정'!$E$23,1)/$D61)^(-'설정'!$C$7)),0))</f>
        <v/>
      </c>
      <c r="J61" s="8">
        <f>IF($E61*'설정'!$C$5*IF(('설정'!$C$24*IF($A61&gt;=31,1+'설정'!$C$14*'설정'!$E$24,1)/$D61)&lt;1,('설정'!$C$24*IF($A61&gt;=31,1+'설정'!$C$14*'설정'!$E$24,1)/$D61)^(-'설정'!$C$6),('설정'!$C$24*IF($A61&gt;=31,1+'설정'!$C$14*'설정'!$E$24,1)/$D61)^(-'설정'!$C$7))&gt;('설정'!$C$4+'설정'!$F$24),"실패",ROUND($E61*'설정'!$C$5*IF(('설정'!$C$24*IF($A61&gt;=31,1+'설정'!$C$14*'설정'!$E$24,1)/$D61)&lt;1,('설정'!$C$24*IF($A61&gt;=31,1+'설정'!$C$14*'설정'!$E$24,1)/$D61)^(-'설정'!$C$6),('설정'!$C$24*IF($A61&gt;=31,1+'설정'!$C$14*'설정'!$E$24,1)/$D61)^(-'설정'!$C$7)),0))</f>
        <v/>
      </c>
      <c r="K61" s="8">
        <f>IF($E61*'설정'!$C$5*IF(('설정'!$C$25*IF($A61&gt;=31,1+'설정'!$C$14*'설정'!$E$25,1)/$D61)&lt;1,('설정'!$C$25*IF($A61&gt;=31,1+'설정'!$C$14*'설정'!$E$25,1)/$D61)^(-'설정'!$C$6),('설정'!$C$25*IF($A61&gt;=31,1+'설정'!$C$14*'설정'!$E$25,1)/$D61)^(-'설정'!$C$7))&gt;('설정'!$C$4+'설정'!$F$25),"실패",ROUND($E61*'설정'!$C$5*IF(('설정'!$C$25*IF($A61&gt;=31,1+'설정'!$C$14*'설정'!$E$25,1)/$D61)&lt;1,('설정'!$C$25*IF($A61&gt;=31,1+'설정'!$C$14*'설정'!$E$25,1)/$D61)^(-'설정'!$C$6),('설정'!$C$25*IF($A61&gt;=31,1+'설정'!$C$14*'설정'!$E$25,1)/$D61)^(-'설정'!$C$7)),0))</f>
        <v/>
      </c>
      <c r="L61" s="8">
        <f>IF($E61*'설정'!$C$5*IF(('설정'!$C$26*IF($A61&gt;=31,1+'설정'!$C$14*'설정'!$E$26,1)/$D61)&lt;1,('설정'!$C$26*IF($A61&gt;=31,1+'설정'!$C$14*'설정'!$E$26,1)/$D61)^(-'설정'!$C$6),('설정'!$C$26*IF($A61&gt;=31,1+'설정'!$C$14*'설정'!$E$26,1)/$D61)^(-'설정'!$C$7))&gt;('설정'!$C$4+'설정'!$F$26),"실패",ROUND($E61*'설정'!$C$5*IF(('설정'!$C$26*IF($A61&gt;=31,1+'설정'!$C$14*'설정'!$E$26,1)/$D61)&lt;1,('설정'!$C$26*IF($A61&gt;=31,1+'설정'!$C$14*'설정'!$E$26,1)/$D61)^(-'설정'!$C$6),('설정'!$C$26*IF($A61&gt;=31,1+'설정'!$C$14*'설정'!$E$26,1)/$D61)^(-'설정'!$C$7)),0))</f>
        <v/>
      </c>
      <c r="M61" s="8">
        <f>IF($E61*'설정'!$C$5*IF(('설정'!$C$27*IF($A61&gt;=31,1+'설정'!$C$14*'설정'!$E$27,1)/$D61)&lt;1,('설정'!$C$27*IF($A61&gt;=31,1+'설정'!$C$14*'설정'!$E$27,1)/$D61)^(-'설정'!$C$6),('설정'!$C$27*IF($A61&gt;=31,1+'설정'!$C$14*'설정'!$E$27,1)/$D61)^(-'설정'!$C$7))&gt;('설정'!$C$4+'설정'!$F$27),"실패",ROUND($E61*'설정'!$C$5*IF(('설정'!$C$27*IF($A61&gt;=31,1+'설정'!$C$14*'설정'!$E$27,1)/$D61)&lt;1,('설정'!$C$27*IF($A61&gt;=31,1+'설정'!$C$14*'설정'!$E$27,1)/$D61)^(-'설정'!$C$6),('설정'!$C$27*IF($A61&gt;=31,1+'설정'!$C$14*'설정'!$E$27,1)/$D61)^(-'설정'!$C$7)),0))</f>
        <v/>
      </c>
      <c r="N61" s="8">
        <f>IF($E61*'설정'!$C$5*IF(('설정'!$C$28*IF($A61&gt;=31,1+'설정'!$C$14*'설정'!$E$28,1)/$D61)&lt;1,('설정'!$C$28*IF($A61&gt;=31,1+'설정'!$C$14*'설정'!$E$28,1)/$D61)^(-'설정'!$C$6),('설정'!$C$28*IF($A61&gt;=31,1+'설정'!$C$14*'설정'!$E$28,1)/$D61)^(-'설정'!$C$7))&gt;('설정'!$C$4+'설정'!$F$28),"실패",ROUND($E61*'설정'!$C$5*IF(('설정'!$C$28*IF($A61&gt;=31,1+'설정'!$C$14*'설정'!$E$28,1)/$D61)&lt;1,('설정'!$C$28*IF($A61&gt;=31,1+'설정'!$C$14*'설정'!$E$28,1)/$D61)^(-'설정'!$C$6),('설정'!$C$28*IF($A61&gt;=31,1+'설정'!$C$14*'설정'!$E$28,1)/$D61)^(-'설정'!$C$7)),0))</f>
        <v/>
      </c>
      <c r="O61" s="8">
        <f>IF($E61*'설정'!$C$5*IF(('설정'!$C$29*IF($A61&gt;=31,1+'설정'!$C$14*'설정'!$E$29,1)/$D61)&lt;1,('설정'!$C$29*IF($A61&gt;=31,1+'설정'!$C$14*'설정'!$E$29,1)/$D61)^(-'설정'!$C$6),('설정'!$C$29*IF($A61&gt;=31,1+'설정'!$C$14*'설정'!$E$29,1)/$D61)^(-'설정'!$C$7))&gt;('설정'!$C$4+'설정'!$F$29),"실패",ROUND($E61*'설정'!$C$5*IF(('설정'!$C$29*IF($A61&gt;=31,1+'설정'!$C$14*'설정'!$E$29,1)/$D61)&lt;1,('설정'!$C$29*IF($A61&gt;=31,1+'설정'!$C$14*'설정'!$E$29,1)/$D61)^(-'설정'!$C$6),('설정'!$C$29*IF($A61&gt;=31,1+'설정'!$C$14*'설정'!$E$29,1)/$D61)^(-'설정'!$C$7)),0))</f>
        <v/>
      </c>
      <c r="P61" s="8">
        <f>IF($E61*'설정'!$C$5*IF(('설정'!$C$30*IF($A61&gt;=31,1+'설정'!$C$14*'설정'!$E$30,1)/$D61)&lt;1,('설정'!$C$30*IF($A61&gt;=31,1+'설정'!$C$14*'설정'!$E$30,1)/$D61)^(-'설정'!$C$6),('설정'!$C$30*IF($A61&gt;=31,1+'설정'!$C$14*'설정'!$E$30,1)/$D61)^(-'설정'!$C$7))&gt;('설정'!$C$4+'설정'!$F$30),"실패",ROUND($E61*'설정'!$C$5*IF(('설정'!$C$30*IF($A61&gt;=31,1+'설정'!$C$14*'설정'!$E$30,1)/$D61)&lt;1,('설정'!$C$30*IF($A61&gt;=31,1+'설정'!$C$14*'설정'!$E$30,1)/$D61)^(-'설정'!$C$6),('설정'!$C$30*IF($A61&gt;=31,1+'설정'!$C$14*'설정'!$E$30,1)/$D61)^(-'설정'!$C$7)),0))</f>
        <v/>
      </c>
      <c r="Q61" s="8">
        <f>IF($E61*'설정'!$C$5*IF(('설정'!$C$31*IF($A61&gt;=31,1+'설정'!$C$14*'설정'!$E$31,1)/$D61)&lt;1,('설정'!$C$31*IF($A61&gt;=31,1+'설정'!$C$14*'설정'!$E$31,1)/$D61)^(-'설정'!$C$6),('설정'!$C$31*IF($A61&gt;=31,1+'설정'!$C$14*'설정'!$E$31,1)/$D61)^(-'설정'!$C$7))&gt;('설정'!$C$4+'설정'!$F$31),"실패",ROUND($E61*'설정'!$C$5*IF(('설정'!$C$31*IF($A61&gt;=31,1+'설정'!$C$14*'설정'!$E$31,1)/$D61)&lt;1,('설정'!$C$31*IF($A61&gt;=31,1+'설정'!$C$14*'설정'!$E$31,1)/$D61)^(-'설정'!$C$6),('설정'!$C$31*IF($A61&gt;=31,1+'설정'!$C$14*'설정'!$E$31,1)/$D61)^(-'설정'!$C$7)),0))</f>
        <v/>
      </c>
      <c r="R61" s="8">
        <f>IF($E61*'설정'!$C$5*IF(('설정'!$C$32*IF($A61&gt;=31,1+'설정'!$C$14*'설정'!$E$32,1)/$D61)&lt;1,('설정'!$C$32*IF($A61&gt;=31,1+'설정'!$C$14*'설정'!$E$32,1)/$D61)^(-'설정'!$C$6),('설정'!$C$32*IF($A61&gt;=31,1+'설정'!$C$14*'설정'!$E$32,1)/$D61)^(-'설정'!$C$7))&gt;('설정'!$C$4+'설정'!$F$32),"실패",ROUND($E61*'설정'!$C$5*IF(('설정'!$C$32*IF($A61&gt;=31,1+'설정'!$C$14*'설정'!$E$32,1)/$D61)&lt;1,('설정'!$C$32*IF($A61&gt;=31,1+'설정'!$C$14*'설정'!$E$32,1)/$D61)^(-'설정'!$C$6),('설정'!$C$32*IF($A61&gt;=31,1+'설정'!$C$14*'설정'!$E$32,1)/$D61)^(-'설정'!$C$7)),0))</f>
        <v/>
      </c>
      <c r="S61" s="8">
        <f>IF($E61*'설정'!$C$5*IF(('설정'!$C$33*IF($A61&gt;=31,1+'설정'!$C$14*'설정'!$E$33,1)/$D61)&lt;1,('설정'!$C$33*IF($A61&gt;=31,1+'설정'!$C$14*'설정'!$E$33,1)/$D61)^(-'설정'!$C$6),('설정'!$C$33*IF($A61&gt;=31,1+'설정'!$C$14*'설정'!$E$33,1)/$D61)^(-'설정'!$C$7))&gt;('설정'!$C$4+'설정'!$F$33),"실패",ROUND($E61*'설정'!$C$5*IF(('설정'!$C$33*IF($A61&gt;=31,1+'설정'!$C$14*'설정'!$E$33,1)/$D61)&lt;1,('설정'!$C$33*IF($A61&gt;=31,1+'설정'!$C$14*'설정'!$E$33,1)/$D61)^(-'설정'!$C$6),('설정'!$C$33*IF($A61&gt;=31,1+'설정'!$C$14*'설정'!$E$33,1)/$D61)^(-'설정'!$C$7)),0))</f>
        <v/>
      </c>
      <c r="T61" s="8">
        <f>IF($E61*'설정'!$C$5*IF(('설정'!$C$34*IF($A61&gt;=31,1+'설정'!$C$14*'설정'!$E$34,1)/$D61)&lt;1,('설정'!$C$34*IF($A61&gt;=31,1+'설정'!$C$14*'설정'!$E$34,1)/$D61)^(-'설정'!$C$6),('설정'!$C$34*IF($A61&gt;=31,1+'설정'!$C$14*'설정'!$E$34,1)/$D61)^(-'설정'!$C$7))&gt;('설정'!$C$4+'설정'!$F$34),"실패",ROUND($E61*'설정'!$C$5*IF(('설정'!$C$34*IF($A61&gt;=31,1+'설정'!$C$14*'설정'!$E$34,1)/$D61)&lt;1,('설정'!$C$34*IF($A61&gt;=31,1+'설정'!$C$14*'설정'!$E$34,1)/$D61)^(-'설정'!$C$6),('설정'!$C$34*IF($A61&gt;=31,1+'설정'!$C$14*'설정'!$E$34,1)/$D61)^(-'설정'!$C$7)),0))</f>
        <v/>
      </c>
      <c r="U61" s="8">
        <f>IF($E61*'설정'!$C$5*IF(('설정'!$C$35*IF($A61&gt;=31,1+'설정'!$C$14*'설정'!$E$35,1)/$D61)&lt;1,('설정'!$C$35*IF($A61&gt;=31,1+'설정'!$C$14*'설정'!$E$35,1)/$D61)^(-'설정'!$C$6),('설정'!$C$35*IF($A61&gt;=31,1+'설정'!$C$14*'설정'!$E$35,1)/$D61)^(-'설정'!$C$7))&gt;('설정'!$C$4+'설정'!$F$35),"실패",ROUND($E61*'설정'!$C$5*IF(('설정'!$C$35*IF($A61&gt;=31,1+'설정'!$C$14*'설정'!$E$35,1)/$D61)&lt;1,('설정'!$C$35*IF($A61&gt;=31,1+'설정'!$C$14*'설정'!$E$35,1)/$D61)^(-'설정'!$C$6),('설정'!$C$35*IF($A61&gt;=31,1+'설정'!$C$14*'설정'!$E$35,1)/$D61)^(-'설정'!$C$7)),0))</f>
        <v/>
      </c>
      <c r="V61" s="8">
        <f>IF($E61*'설정'!$C$5*IF(('설정'!$C$36*IF($A61&gt;=31,1+'설정'!$C$14*'설정'!$E$36,1)/$D61)&lt;1,('설정'!$C$36*IF($A61&gt;=31,1+'설정'!$C$14*'설정'!$E$36,1)/$D61)^(-'설정'!$C$6),('설정'!$C$36*IF($A61&gt;=31,1+'설정'!$C$14*'설정'!$E$36,1)/$D61)^(-'설정'!$C$7))&gt;('설정'!$C$4+'설정'!$F$36),"실패",ROUND($E61*'설정'!$C$5*IF(('설정'!$C$36*IF($A61&gt;=31,1+'설정'!$C$14*'설정'!$E$36,1)/$D61)&lt;1,('설정'!$C$36*IF($A61&gt;=31,1+'설정'!$C$14*'설정'!$E$36,1)/$D61)^(-'설정'!$C$6),('설정'!$C$36*IF($A61&gt;=31,1+'설정'!$C$14*'설정'!$E$36,1)/$D61)^(-'설정'!$C$7)),0))</f>
        <v/>
      </c>
      <c r="W61" s="8">
        <f>IF($E61*'설정'!$C$5*IF(('설정'!$C$37*IF($A61&gt;=31,1+'설정'!$C$14*'설정'!$E$37,1)/$D61)&lt;1,('설정'!$C$37*IF($A61&gt;=31,1+'설정'!$C$14*'설정'!$E$37,1)/$D61)^(-'설정'!$C$6),('설정'!$C$37*IF($A61&gt;=31,1+'설정'!$C$14*'설정'!$E$37,1)/$D61)^(-'설정'!$C$7))&gt;('설정'!$C$4+'설정'!$F$37),"실패",ROUND($E61*'설정'!$C$5*IF(('설정'!$C$37*IF($A61&gt;=31,1+'설정'!$C$14*'설정'!$E$37,1)/$D61)&lt;1,('설정'!$C$37*IF($A61&gt;=31,1+'설정'!$C$14*'설정'!$E$37,1)/$D61)^(-'설정'!$C$6),('설정'!$C$37*IF($A61&gt;=31,1+'설정'!$C$14*'설정'!$E$37,1)/$D61)^(-'설정'!$C$7)),0))</f>
        <v/>
      </c>
    </row>
    <row r="62">
      <c r="A62" s="4" t="n">
        <v>60</v>
      </c>
      <c r="B62" s="4" t="inlineStr">
        <is>
          <t>허들</t>
        </is>
      </c>
      <c r="C62" s="4" t="inlineStr">
        <is>
          <t>보스</t>
        </is>
      </c>
      <c r="D62" s="9" t="n">
        <v>6910000</v>
      </c>
      <c r="E62" s="4" t="n">
        <v>153.3</v>
      </c>
      <c r="F62" s="9" t="n">
        <v>138000</v>
      </c>
      <c r="G62" s="4" t="n">
        <v>61</v>
      </c>
      <c r="H62" s="8">
        <f>IF($E62*'설정'!$C$5*IF(('설정'!$C$22*IF($A62&gt;=31,1+'설정'!$C$14*'설정'!$E$22,1)/$D62)&lt;1,('설정'!$C$22*IF($A62&gt;=31,1+'설정'!$C$14*'설정'!$E$22,1)/$D62)^(-'설정'!$C$6),('설정'!$C$22*IF($A62&gt;=31,1+'설정'!$C$14*'설정'!$E$22,1)/$D62)^(-'설정'!$C$7))&gt;('설정'!$C$4+'설정'!$F$22+'설정'!$G$22),"실패",ROUND($E62*'설정'!$C$5*IF(('설정'!$C$22*IF($A62&gt;=31,1+'설정'!$C$14*'설정'!$E$22,1)/$D62)&lt;1,('설정'!$C$22*IF($A62&gt;=31,1+'설정'!$C$14*'설정'!$E$22,1)/$D62)^(-'설정'!$C$6),('설정'!$C$22*IF($A62&gt;=31,1+'설정'!$C$14*'설정'!$E$22,1)/$D62)^(-'설정'!$C$7)),0))</f>
        <v/>
      </c>
      <c r="I62" s="8">
        <f>IF($E62*'설정'!$C$5*IF(('설정'!$C$23*IF($A62&gt;=31,1+'설정'!$C$14*'설정'!$E$23,1)/$D62)&lt;1,('설정'!$C$23*IF($A62&gt;=31,1+'설정'!$C$14*'설정'!$E$23,1)/$D62)^(-'설정'!$C$6),('설정'!$C$23*IF($A62&gt;=31,1+'설정'!$C$14*'설정'!$E$23,1)/$D62)^(-'설정'!$C$7))&gt;('설정'!$C$4+'설정'!$F$23+'설정'!$G$23),"실패",ROUND($E62*'설정'!$C$5*IF(('설정'!$C$23*IF($A62&gt;=31,1+'설정'!$C$14*'설정'!$E$23,1)/$D62)&lt;1,('설정'!$C$23*IF($A62&gt;=31,1+'설정'!$C$14*'설정'!$E$23,1)/$D62)^(-'설정'!$C$6),('설정'!$C$23*IF($A62&gt;=31,1+'설정'!$C$14*'설정'!$E$23,1)/$D62)^(-'설정'!$C$7)),0))</f>
        <v/>
      </c>
      <c r="J62" s="8">
        <f>IF($E62*'설정'!$C$5*IF(('설정'!$C$24*IF($A62&gt;=31,1+'설정'!$C$14*'설정'!$E$24,1)/$D62)&lt;1,('설정'!$C$24*IF($A62&gt;=31,1+'설정'!$C$14*'설정'!$E$24,1)/$D62)^(-'설정'!$C$6),('설정'!$C$24*IF($A62&gt;=31,1+'설정'!$C$14*'설정'!$E$24,1)/$D62)^(-'설정'!$C$7))&gt;('설정'!$C$4+'설정'!$F$24+'설정'!$G$24),"실패",ROUND($E62*'설정'!$C$5*IF(('설정'!$C$24*IF($A62&gt;=31,1+'설정'!$C$14*'설정'!$E$24,1)/$D62)&lt;1,('설정'!$C$24*IF($A62&gt;=31,1+'설정'!$C$14*'설정'!$E$24,1)/$D62)^(-'설정'!$C$6),('설정'!$C$24*IF($A62&gt;=31,1+'설정'!$C$14*'설정'!$E$24,1)/$D62)^(-'설정'!$C$7)),0))</f>
        <v/>
      </c>
      <c r="K62" s="8">
        <f>IF($E62*'설정'!$C$5*IF(('설정'!$C$25*IF($A62&gt;=31,1+'설정'!$C$14*'설정'!$E$25,1)/$D62)&lt;1,('설정'!$C$25*IF($A62&gt;=31,1+'설정'!$C$14*'설정'!$E$25,1)/$D62)^(-'설정'!$C$6),('설정'!$C$25*IF($A62&gt;=31,1+'설정'!$C$14*'설정'!$E$25,1)/$D62)^(-'설정'!$C$7))&gt;('설정'!$C$4+'설정'!$F$25+'설정'!$G$25),"실패",ROUND($E62*'설정'!$C$5*IF(('설정'!$C$25*IF($A62&gt;=31,1+'설정'!$C$14*'설정'!$E$25,1)/$D62)&lt;1,('설정'!$C$25*IF($A62&gt;=31,1+'설정'!$C$14*'설정'!$E$25,1)/$D62)^(-'설정'!$C$6),('설정'!$C$25*IF($A62&gt;=31,1+'설정'!$C$14*'설정'!$E$25,1)/$D62)^(-'설정'!$C$7)),0))</f>
        <v/>
      </c>
      <c r="L62" s="8">
        <f>IF($E62*'설정'!$C$5*IF(('설정'!$C$26*IF($A62&gt;=31,1+'설정'!$C$14*'설정'!$E$26,1)/$D62)&lt;1,('설정'!$C$26*IF($A62&gt;=31,1+'설정'!$C$14*'설정'!$E$26,1)/$D62)^(-'설정'!$C$6),('설정'!$C$26*IF($A62&gt;=31,1+'설정'!$C$14*'설정'!$E$26,1)/$D62)^(-'설정'!$C$7))&gt;('설정'!$C$4+'설정'!$F$26+'설정'!$G$26),"실패",ROUND($E62*'설정'!$C$5*IF(('설정'!$C$26*IF($A62&gt;=31,1+'설정'!$C$14*'설정'!$E$26,1)/$D62)&lt;1,('설정'!$C$26*IF($A62&gt;=31,1+'설정'!$C$14*'설정'!$E$26,1)/$D62)^(-'설정'!$C$6),('설정'!$C$26*IF($A62&gt;=31,1+'설정'!$C$14*'설정'!$E$26,1)/$D62)^(-'설정'!$C$7)),0))</f>
        <v/>
      </c>
      <c r="M62" s="8">
        <f>IF($E62*'설정'!$C$5*IF(('설정'!$C$27*IF($A62&gt;=31,1+'설정'!$C$14*'설정'!$E$27,1)/$D62)&lt;1,('설정'!$C$27*IF($A62&gt;=31,1+'설정'!$C$14*'설정'!$E$27,1)/$D62)^(-'설정'!$C$6),('설정'!$C$27*IF($A62&gt;=31,1+'설정'!$C$14*'설정'!$E$27,1)/$D62)^(-'설정'!$C$7))&gt;('설정'!$C$4+'설정'!$F$27+'설정'!$G$27),"실패",ROUND($E62*'설정'!$C$5*IF(('설정'!$C$27*IF($A62&gt;=31,1+'설정'!$C$14*'설정'!$E$27,1)/$D62)&lt;1,('설정'!$C$27*IF($A62&gt;=31,1+'설정'!$C$14*'설정'!$E$27,1)/$D62)^(-'설정'!$C$6),('설정'!$C$27*IF($A62&gt;=31,1+'설정'!$C$14*'설정'!$E$27,1)/$D62)^(-'설정'!$C$7)),0))</f>
        <v/>
      </c>
      <c r="N62" s="8">
        <f>IF($E62*'설정'!$C$5*IF(('설정'!$C$28*IF($A62&gt;=31,1+'설정'!$C$14*'설정'!$E$28,1)/$D62)&lt;1,('설정'!$C$28*IF($A62&gt;=31,1+'설정'!$C$14*'설정'!$E$28,1)/$D62)^(-'설정'!$C$6),('설정'!$C$28*IF($A62&gt;=31,1+'설정'!$C$14*'설정'!$E$28,1)/$D62)^(-'설정'!$C$7))&gt;('설정'!$C$4+'설정'!$F$28+'설정'!$G$28),"실패",ROUND($E62*'설정'!$C$5*IF(('설정'!$C$28*IF($A62&gt;=31,1+'설정'!$C$14*'설정'!$E$28,1)/$D62)&lt;1,('설정'!$C$28*IF($A62&gt;=31,1+'설정'!$C$14*'설정'!$E$28,1)/$D62)^(-'설정'!$C$6),('설정'!$C$28*IF($A62&gt;=31,1+'설정'!$C$14*'설정'!$E$28,1)/$D62)^(-'설정'!$C$7)),0))</f>
        <v/>
      </c>
      <c r="O62" s="8">
        <f>IF($E62*'설정'!$C$5*IF(('설정'!$C$29*IF($A62&gt;=31,1+'설정'!$C$14*'설정'!$E$29,1)/$D62)&lt;1,('설정'!$C$29*IF($A62&gt;=31,1+'설정'!$C$14*'설정'!$E$29,1)/$D62)^(-'설정'!$C$6),('설정'!$C$29*IF($A62&gt;=31,1+'설정'!$C$14*'설정'!$E$29,1)/$D62)^(-'설정'!$C$7))&gt;('설정'!$C$4+'설정'!$F$29+'설정'!$G$29),"실패",ROUND($E62*'설정'!$C$5*IF(('설정'!$C$29*IF($A62&gt;=31,1+'설정'!$C$14*'설정'!$E$29,1)/$D62)&lt;1,('설정'!$C$29*IF($A62&gt;=31,1+'설정'!$C$14*'설정'!$E$29,1)/$D62)^(-'설정'!$C$6),('설정'!$C$29*IF($A62&gt;=31,1+'설정'!$C$14*'설정'!$E$29,1)/$D62)^(-'설정'!$C$7)),0))</f>
        <v/>
      </c>
      <c r="P62" s="8">
        <f>IF($E62*'설정'!$C$5*IF(('설정'!$C$30*IF($A62&gt;=31,1+'설정'!$C$14*'설정'!$E$30,1)/$D62)&lt;1,('설정'!$C$30*IF($A62&gt;=31,1+'설정'!$C$14*'설정'!$E$30,1)/$D62)^(-'설정'!$C$6),('설정'!$C$30*IF($A62&gt;=31,1+'설정'!$C$14*'설정'!$E$30,1)/$D62)^(-'설정'!$C$7))&gt;('설정'!$C$4+'설정'!$F$30+'설정'!$G$30),"실패",ROUND($E62*'설정'!$C$5*IF(('설정'!$C$30*IF($A62&gt;=31,1+'설정'!$C$14*'설정'!$E$30,1)/$D62)&lt;1,('설정'!$C$30*IF($A62&gt;=31,1+'설정'!$C$14*'설정'!$E$30,1)/$D62)^(-'설정'!$C$6),('설정'!$C$30*IF($A62&gt;=31,1+'설정'!$C$14*'설정'!$E$30,1)/$D62)^(-'설정'!$C$7)),0))</f>
        <v/>
      </c>
      <c r="Q62" s="8">
        <f>IF($E62*'설정'!$C$5*IF(('설정'!$C$31*IF($A62&gt;=31,1+'설정'!$C$14*'설정'!$E$31,1)/$D62)&lt;1,('설정'!$C$31*IF($A62&gt;=31,1+'설정'!$C$14*'설정'!$E$31,1)/$D62)^(-'설정'!$C$6),('설정'!$C$31*IF($A62&gt;=31,1+'설정'!$C$14*'설정'!$E$31,1)/$D62)^(-'설정'!$C$7))&gt;('설정'!$C$4+'설정'!$F$31+'설정'!$G$31),"실패",ROUND($E62*'설정'!$C$5*IF(('설정'!$C$31*IF($A62&gt;=31,1+'설정'!$C$14*'설정'!$E$31,1)/$D62)&lt;1,('설정'!$C$31*IF($A62&gt;=31,1+'설정'!$C$14*'설정'!$E$31,1)/$D62)^(-'설정'!$C$6),('설정'!$C$31*IF($A62&gt;=31,1+'설정'!$C$14*'설정'!$E$31,1)/$D62)^(-'설정'!$C$7)),0))</f>
        <v/>
      </c>
      <c r="R62" s="8">
        <f>IF($E62*'설정'!$C$5*IF(('설정'!$C$32*IF($A62&gt;=31,1+'설정'!$C$14*'설정'!$E$32,1)/$D62)&lt;1,('설정'!$C$32*IF($A62&gt;=31,1+'설정'!$C$14*'설정'!$E$32,1)/$D62)^(-'설정'!$C$6),('설정'!$C$32*IF($A62&gt;=31,1+'설정'!$C$14*'설정'!$E$32,1)/$D62)^(-'설정'!$C$7))&gt;('설정'!$C$4+'설정'!$F$32+'설정'!$G$32),"실패",ROUND($E62*'설정'!$C$5*IF(('설정'!$C$32*IF($A62&gt;=31,1+'설정'!$C$14*'설정'!$E$32,1)/$D62)&lt;1,('설정'!$C$32*IF($A62&gt;=31,1+'설정'!$C$14*'설정'!$E$32,1)/$D62)^(-'설정'!$C$6),('설정'!$C$32*IF($A62&gt;=31,1+'설정'!$C$14*'설정'!$E$32,1)/$D62)^(-'설정'!$C$7)),0))</f>
        <v/>
      </c>
      <c r="S62" s="8">
        <f>IF($E62*'설정'!$C$5*IF(('설정'!$C$33*IF($A62&gt;=31,1+'설정'!$C$14*'설정'!$E$33,1)/$D62)&lt;1,('설정'!$C$33*IF($A62&gt;=31,1+'설정'!$C$14*'설정'!$E$33,1)/$D62)^(-'설정'!$C$6),('설정'!$C$33*IF($A62&gt;=31,1+'설정'!$C$14*'설정'!$E$33,1)/$D62)^(-'설정'!$C$7))&gt;('설정'!$C$4+'설정'!$F$33+'설정'!$G$33),"실패",ROUND($E62*'설정'!$C$5*IF(('설정'!$C$33*IF($A62&gt;=31,1+'설정'!$C$14*'설정'!$E$33,1)/$D62)&lt;1,('설정'!$C$33*IF($A62&gt;=31,1+'설정'!$C$14*'설정'!$E$33,1)/$D62)^(-'설정'!$C$6),('설정'!$C$33*IF($A62&gt;=31,1+'설정'!$C$14*'설정'!$E$33,1)/$D62)^(-'설정'!$C$7)),0))</f>
        <v/>
      </c>
      <c r="T62" s="8">
        <f>IF($E62*'설정'!$C$5*IF(('설정'!$C$34*IF($A62&gt;=31,1+'설정'!$C$14*'설정'!$E$34,1)/$D62)&lt;1,('설정'!$C$34*IF($A62&gt;=31,1+'설정'!$C$14*'설정'!$E$34,1)/$D62)^(-'설정'!$C$6),('설정'!$C$34*IF($A62&gt;=31,1+'설정'!$C$14*'설정'!$E$34,1)/$D62)^(-'설정'!$C$7))&gt;('설정'!$C$4+'설정'!$F$34+'설정'!$G$34),"실패",ROUND($E62*'설정'!$C$5*IF(('설정'!$C$34*IF($A62&gt;=31,1+'설정'!$C$14*'설정'!$E$34,1)/$D62)&lt;1,('설정'!$C$34*IF($A62&gt;=31,1+'설정'!$C$14*'설정'!$E$34,1)/$D62)^(-'설정'!$C$6),('설정'!$C$34*IF($A62&gt;=31,1+'설정'!$C$14*'설정'!$E$34,1)/$D62)^(-'설정'!$C$7)),0))</f>
        <v/>
      </c>
      <c r="U62" s="8">
        <f>IF($E62*'설정'!$C$5*IF(('설정'!$C$35*IF($A62&gt;=31,1+'설정'!$C$14*'설정'!$E$35,1)/$D62)&lt;1,('설정'!$C$35*IF($A62&gt;=31,1+'설정'!$C$14*'설정'!$E$35,1)/$D62)^(-'설정'!$C$6),('설정'!$C$35*IF($A62&gt;=31,1+'설정'!$C$14*'설정'!$E$35,1)/$D62)^(-'설정'!$C$7))&gt;('설정'!$C$4+'설정'!$F$35+'설정'!$G$35),"실패",ROUND($E62*'설정'!$C$5*IF(('설정'!$C$35*IF($A62&gt;=31,1+'설정'!$C$14*'설정'!$E$35,1)/$D62)&lt;1,('설정'!$C$35*IF($A62&gt;=31,1+'설정'!$C$14*'설정'!$E$35,1)/$D62)^(-'설정'!$C$6),('설정'!$C$35*IF($A62&gt;=31,1+'설정'!$C$14*'설정'!$E$35,1)/$D62)^(-'설정'!$C$7)),0))</f>
        <v/>
      </c>
      <c r="V62" s="8">
        <f>IF($E62*'설정'!$C$5*IF(('설정'!$C$36*IF($A62&gt;=31,1+'설정'!$C$14*'설정'!$E$36,1)/$D62)&lt;1,('설정'!$C$36*IF($A62&gt;=31,1+'설정'!$C$14*'설정'!$E$36,1)/$D62)^(-'설정'!$C$6),('설정'!$C$36*IF($A62&gt;=31,1+'설정'!$C$14*'설정'!$E$36,1)/$D62)^(-'설정'!$C$7))&gt;('설정'!$C$4+'설정'!$F$36+'설정'!$G$36),"실패",ROUND($E62*'설정'!$C$5*IF(('설정'!$C$36*IF($A62&gt;=31,1+'설정'!$C$14*'설정'!$E$36,1)/$D62)&lt;1,('설정'!$C$36*IF($A62&gt;=31,1+'설정'!$C$14*'설정'!$E$36,1)/$D62)^(-'설정'!$C$6),('설정'!$C$36*IF($A62&gt;=31,1+'설정'!$C$14*'설정'!$E$36,1)/$D62)^(-'설정'!$C$7)),0))</f>
        <v/>
      </c>
      <c r="W62" s="8">
        <f>IF($E62*'설정'!$C$5*IF(('설정'!$C$37*IF($A62&gt;=31,1+'설정'!$C$14*'설정'!$E$37,1)/$D62)&lt;1,('설정'!$C$37*IF($A62&gt;=31,1+'설정'!$C$14*'설정'!$E$37,1)/$D62)^(-'설정'!$C$6),('설정'!$C$37*IF($A62&gt;=31,1+'설정'!$C$14*'설정'!$E$37,1)/$D62)^(-'설정'!$C$7))&gt;('설정'!$C$4+'설정'!$F$37+'설정'!$G$37),"실패",ROUND($E62*'설정'!$C$5*IF(('설정'!$C$37*IF($A62&gt;=31,1+'설정'!$C$14*'설정'!$E$37,1)/$D62)&lt;1,('설정'!$C$37*IF($A62&gt;=31,1+'설정'!$C$14*'설정'!$E$37,1)/$D62)^(-'설정'!$C$6),('설정'!$C$37*IF($A62&gt;=31,1+'설정'!$C$14*'설정'!$E$37,1)/$D62)^(-'설정'!$C$7)),0))</f>
        <v/>
      </c>
    </row>
    <row r="63">
      <c r="A63" t="n">
        <v>61</v>
      </c>
      <c r="B63" t="inlineStr">
        <is>
          <t>쉬움</t>
        </is>
      </c>
      <c r="C63" t="inlineStr"/>
      <c r="D63" s="6" t="n">
        <v>4760000</v>
      </c>
      <c r="E63" t="n">
        <v>72</v>
      </c>
      <c r="F63" s="6" t="n">
        <v>95100</v>
      </c>
      <c r="G63" t="n">
        <v>61</v>
      </c>
      <c r="H63" s="8">
        <f>IF($E63*'설정'!$C$5*IF(('설정'!$C$22*IF($A63&gt;=31,1+'설정'!$C$14*'설정'!$E$22,1)/$D63)&lt;1,('설정'!$C$22*IF($A63&gt;=31,1+'설정'!$C$14*'설정'!$E$22,1)/$D63)^(-'설정'!$C$6),('설정'!$C$22*IF($A63&gt;=31,1+'설정'!$C$14*'설정'!$E$22,1)/$D63)^(-'설정'!$C$7))&gt;('설정'!$C$4+'설정'!$F$22),"실패",ROUND($E63*'설정'!$C$5*IF(('설정'!$C$22*IF($A63&gt;=31,1+'설정'!$C$14*'설정'!$E$22,1)/$D63)&lt;1,('설정'!$C$22*IF($A63&gt;=31,1+'설정'!$C$14*'설정'!$E$22,1)/$D63)^(-'설정'!$C$6),('설정'!$C$22*IF($A63&gt;=31,1+'설정'!$C$14*'설정'!$E$22,1)/$D63)^(-'설정'!$C$7)),0))</f>
        <v/>
      </c>
      <c r="I63" s="8">
        <f>IF($E63*'설정'!$C$5*IF(('설정'!$C$23*IF($A63&gt;=31,1+'설정'!$C$14*'설정'!$E$23,1)/$D63)&lt;1,('설정'!$C$23*IF($A63&gt;=31,1+'설정'!$C$14*'설정'!$E$23,1)/$D63)^(-'설정'!$C$6),('설정'!$C$23*IF($A63&gt;=31,1+'설정'!$C$14*'설정'!$E$23,1)/$D63)^(-'설정'!$C$7))&gt;('설정'!$C$4+'설정'!$F$23),"실패",ROUND($E63*'설정'!$C$5*IF(('설정'!$C$23*IF($A63&gt;=31,1+'설정'!$C$14*'설정'!$E$23,1)/$D63)&lt;1,('설정'!$C$23*IF($A63&gt;=31,1+'설정'!$C$14*'설정'!$E$23,1)/$D63)^(-'설정'!$C$6),('설정'!$C$23*IF($A63&gt;=31,1+'설정'!$C$14*'설정'!$E$23,1)/$D63)^(-'설정'!$C$7)),0))</f>
        <v/>
      </c>
      <c r="J63" s="8">
        <f>IF($E63*'설정'!$C$5*IF(('설정'!$C$24*IF($A63&gt;=31,1+'설정'!$C$14*'설정'!$E$24,1)/$D63)&lt;1,('설정'!$C$24*IF($A63&gt;=31,1+'설정'!$C$14*'설정'!$E$24,1)/$D63)^(-'설정'!$C$6),('설정'!$C$24*IF($A63&gt;=31,1+'설정'!$C$14*'설정'!$E$24,1)/$D63)^(-'설정'!$C$7))&gt;('설정'!$C$4+'설정'!$F$24),"실패",ROUND($E63*'설정'!$C$5*IF(('설정'!$C$24*IF($A63&gt;=31,1+'설정'!$C$14*'설정'!$E$24,1)/$D63)&lt;1,('설정'!$C$24*IF($A63&gt;=31,1+'설정'!$C$14*'설정'!$E$24,1)/$D63)^(-'설정'!$C$6),('설정'!$C$24*IF($A63&gt;=31,1+'설정'!$C$14*'설정'!$E$24,1)/$D63)^(-'설정'!$C$7)),0))</f>
        <v/>
      </c>
      <c r="K63" s="8">
        <f>IF($E63*'설정'!$C$5*IF(('설정'!$C$25*IF($A63&gt;=31,1+'설정'!$C$14*'설정'!$E$25,1)/$D63)&lt;1,('설정'!$C$25*IF($A63&gt;=31,1+'설정'!$C$14*'설정'!$E$25,1)/$D63)^(-'설정'!$C$6),('설정'!$C$25*IF($A63&gt;=31,1+'설정'!$C$14*'설정'!$E$25,1)/$D63)^(-'설정'!$C$7))&gt;('설정'!$C$4+'설정'!$F$25),"실패",ROUND($E63*'설정'!$C$5*IF(('설정'!$C$25*IF($A63&gt;=31,1+'설정'!$C$14*'설정'!$E$25,1)/$D63)&lt;1,('설정'!$C$25*IF($A63&gt;=31,1+'설정'!$C$14*'설정'!$E$25,1)/$D63)^(-'설정'!$C$6),('설정'!$C$25*IF($A63&gt;=31,1+'설정'!$C$14*'설정'!$E$25,1)/$D63)^(-'설정'!$C$7)),0))</f>
        <v/>
      </c>
      <c r="L63" s="8">
        <f>IF($E63*'설정'!$C$5*IF(('설정'!$C$26*IF($A63&gt;=31,1+'설정'!$C$14*'설정'!$E$26,1)/$D63)&lt;1,('설정'!$C$26*IF($A63&gt;=31,1+'설정'!$C$14*'설정'!$E$26,1)/$D63)^(-'설정'!$C$6),('설정'!$C$26*IF($A63&gt;=31,1+'설정'!$C$14*'설정'!$E$26,1)/$D63)^(-'설정'!$C$7))&gt;('설정'!$C$4+'설정'!$F$26),"실패",ROUND($E63*'설정'!$C$5*IF(('설정'!$C$26*IF($A63&gt;=31,1+'설정'!$C$14*'설정'!$E$26,1)/$D63)&lt;1,('설정'!$C$26*IF($A63&gt;=31,1+'설정'!$C$14*'설정'!$E$26,1)/$D63)^(-'설정'!$C$6),('설정'!$C$26*IF($A63&gt;=31,1+'설정'!$C$14*'설정'!$E$26,1)/$D63)^(-'설정'!$C$7)),0))</f>
        <v/>
      </c>
      <c r="M63" s="8">
        <f>IF($E63*'설정'!$C$5*IF(('설정'!$C$27*IF($A63&gt;=31,1+'설정'!$C$14*'설정'!$E$27,1)/$D63)&lt;1,('설정'!$C$27*IF($A63&gt;=31,1+'설정'!$C$14*'설정'!$E$27,1)/$D63)^(-'설정'!$C$6),('설정'!$C$27*IF($A63&gt;=31,1+'설정'!$C$14*'설정'!$E$27,1)/$D63)^(-'설정'!$C$7))&gt;('설정'!$C$4+'설정'!$F$27),"실패",ROUND($E63*'설정'!$C$5*IF(('설정'!$C$27*IF($A63&gt;=31,1+'설정'!$C$14*'설정'!$E$27,1)/$D63)&lt;1,('설정'!$C$27*IF($A63&gt;=31,1+'설정'!$C$14*'설정'!$E$27,1)/$D63)^(-'설정'!$C$6),('설정'!$C$27*IF($A63&gt;=31,1+'설정'!$C$14*'설정'!$E$27,1)/$D63)^(-'설정'!$C$7)),0))</f>
        <v/>
      </c>
      <c r="N63" s="8">
        <f>IF($E63*'설정'!$C$5*IF(('설정'!$C$28*IF($A63&gt;=31,1+'설정'!$C$14*'설정'!$E$28,1)/$D63)&lt;1,('설정'!$C$28*IF($A63&gt;=31,1+'설정'!$C$14*'설정'!$E$28,1)/$D63)^(-'설정'!$C$6),('설정'!$C$28*IF($A63&gt;=31,1+'설정'!$C$14*'설정'!$E$28,1)/$D63)^(-'설정'!$C$7))&gt;('설정'!$C$4+'설정'!$F$28),"실패",ROUND($E63*'설정'!$C$5*IF(('설정'!$C$28*IF($A63&gt;=31,1+'설정'!$C$14*'설정'!$E$28,1)/$D63)&lt;1,('설정'!$C$28*IF($A63&gt;=31,1+'설정'!$C$14*'설정'!$E$28,1)/$D63)^(-'설정'!$C$6),('설정'!$C$28*IF($A63&gt;=31,1+'설정'!$C$14*'설정'!$E$28,1)/$D63)^(-'설정'!$C$7)),0))</f>
        <v/>
      </c>
      <c r="O63" s="8">
        <f>IF($E63*'설정'!$C$5*IF(('설정'!$C$29*IF($A63&gt;=31,1+'설정'!$C$14*'설정'!$E$29,1)/$D63)&lt;1,('설정'!$C$29*IF($A63&gt;=31,1+'설정'!$C$14*'설정'!$E$29,1)/$D63)^(-'설정'!$C$6),('설정'!$C$29*IF($A63&gt;=31,1+'설정'!$C$14*'설정'!$E$29,1)/$D63)^(-'설정'!$C$7))&gt;('설정'!$C$4+'설정'!$F$29),"실패",ROUND($E63*'설정'!$C$5*IF(('설정'!$C$29*IF($A63&gt;=31,1+'설정'!$C$14*'설정'!$E$29,1)/$D63)&lt;1,('설정'!$C$29*IF($A63&gt;=31,1+'설정'!$C$14*'설정'!$E$29,1)/$D63)^(-'설정'!$C$6),('설정'!$C$29*IF($A63&gt;=31,1+'설정'!$C$14*'설정'!$E$29,1)/$D63)^(-'설정'!$C$7)),0))</f>
        <v/>
      </c>
      <c r="P63" s="8">
        <f>IF($E63*'설정'!$C$5*IF(('설정'!$C$30*IF($A63&gt;=31,1+'설정'!$C$14*'설정'!$E$30,1)/$D63)&lt;1,('설정'!$C$30*IF($A63&gt;=31,1+'설정'!$C$14*'설정'!$E$30,1)/$D63)^(-'설정'!$C$6),('설정'!$C$30*IF($A63&gt;=31,1+'설정'!$C$14*'설정'!$E$30,1)/$D63)^(-'설정'!$C$7))&gt;('설정'!$C$4+'설정'!$F$30),"실패",ROUND($E63*'설정'!$C$5*IF(('설정'!$C$30*IF($A63&gt;=31,1+'설정'!$C$14*'설정'!$E$30,1)/$D63)&lt;1,('설정'!$C$30*IF($A63&gt;=31,1+'설정'!$C$14*'설정'!$E$30,1)/$D63)^(-'설정'!$C$6),('설정'!$C$30*IF($A63&gt;=31,1+'설정'!$C$14*'설정'!$E$30,1)/$D63)^(-'설정'!$C$7)),0))</f>
        <v/>
      </c>
      <c r="Q63" s="8">
        <f>IF($E63*'설정'!$C$5*IF(('설정'!$C$31*IF($A63&gt;=31,1+'설정'!$C$14*'설정'!$E$31,1)/$D63)&lt;1,('설정'!$C$31*IF($A63&gt;=31,1+'설정'!$C$14*'설정'!$E$31,1)/$D63)^(-'설정'!$C$6),('설정'!$C$31*IF($A63&gt;=31,1+'설정'!$C$14*'설정'!$E$31,1)/$D63)^(-'설정'!$C$7))&gt;('설정'!$C$4+'설정'!$F$31),"실패",ROUND($E63*'설정'!$C$5*IF(('설정'!$C$31*IF($A63&gt;=31,1+'설정'!$C$14*'설정'!$E$31,1)/$D63)&lt;1,('설정'!$C$31*IF($A63&gt;=31,1+'설정'!$C$14*'설정'!$E$31,1)/$D63)^(-'설정'!$C$6),('설정'!$C$31*IF($A63&gt;=31,1+'설정'!$C$14*'설정'!$E$31,1)/$D63)^(-'설정'!$C$7)),0))</f>
        <v/>
      </c>
      <c r="R63" s="8">
        <f>IF($E63*'설정'!$C$5*IF(('설정'!$C$32*IF($A63&gt;=31,1+'설정'!$C$14*'설정'!$E$32,1)/$D63)&lt;1,('설정'!$C$32*IF($A63&gt;=31,1+'설정'!$C$14*'설정'!$E$32,1)/$D63)^(-'설정'!$C$6),('설정'!$C$32*IF($A63&gt;=31,1+'설정'!$C$14*'설정'!$E$32,1)/$D63)^(-'설정'!$C$7))&gt;('설정'!$C$4+'설정'!$F$32),"실패",ROUND($E63*'설정'!$C$5*IF(('설정'!$C$32*IF($A63&gt;=31,1+'설정'!$C$14*'설정'!$E$32,1)/$D63)&lt;1,('설정'!$C$32*IF($A63&gt;=31,1+'설정'!$C$14*'설정'!$E$32,1)/$D63)^(-'설정'!$C$6),('설정'!$C$32*IF($A63&gt;=31,1+'설정'!$C$14*'설정'!$E$32,1)/$D63)^(-'설정'!$C$7)),0))</f>
        <v/>
      </c>
      <c r="S63" s="8">
        <f>IF($E63*'설정'!$C$5*IF(('설정'!$C$33*IF($A63&gt;=31,1+'설정'!$C$14*'설정'!$E$33,1)/$D63)&lt;1,('설정'!$C$33*IF($A63&gt;=31,1+'설정'!$C$14*'설정'!$E$33,1)/$D63)^(-'설정'!$C$6),('설정'!$C$33*IF($A63&gt;=31,1+'설정'!$C$14*'설정'!$E$33,1)/$D63)^(-'설정'!$C$7))&gt;('설정'!$C$4+'설정'!$F$33),"실패",ROUND($E63*'설정'!$C$5*IF(('설정'!$C$33*IF($A63&gt;=31,1+'설정'!$C$14*'설정'!$E$33,1)/$D63)&lt;1,('설정'!$C$33*IF($A63&gt;=31,1+'설정'!$C$14*'설정'!$E$33,1)/$D63)^(-'설정'!$C$6),('설정'!$C$33*IF($A63&gt;=31,1+'설정'!$C$14*'설정'!$E$33,1)/$D63)^(-'설정'!$C$7)),0))</f>
        <v/>
      </c>
      <c r="T63" s="8">
        <f>IF($E63*'설정'!$C$5*IF(('설정'!$C$34*IF($A63&gt;=31,1+'설정'!$C$14*'설정'!$E$34,1)/$D63)&lt;1,('설정'!$C$34*IF($A63&gt;=31,1+'설정'!$C$14*'설정'!$E$34,1)/$D63)^(-'설정'!$C$6),('설정'!$C$34*IF($A63&gt;=31,1+'설정'!$C$14*'설정'!$E$34,1)/$D63)^(-'설정'!$C$7))&gt;('설정'!$C$4+'설정'!$F$34),"실패",ROUND($E63*'설정'!$C$5*IF(('설정'!$C$34*IF($A63&gt;=31,1+'설정'!$C$14*'설정'!$E$34,1)/$D63)&lt;1,('설정'!$C$34*IF($A63&gt;=31,1+'설정'!$C$14*'설정'!$E$34,1)/$D63)^(-'설정'!$C$6),('설정'!$C$34*IF($A63&gt;=31,1+'설정'!$C$14*'설정'!$E$34,1)/$D63)^(-'설정'!$C$7)),0))</f>
        <v/>
      </c>
      <c r="U63" s="8">
        <f>IF($E63*'설정'!$C$5*IF(('설정'!$C$35*IF($A63&gt;=31,1+'설정'!$C$14*'설정'!$E$35,1)/$D63)&lt;1,('설정'!$C$35*IF($A63&gt;=31,1+'설정'!$C$14*'설정'!$E$35,1)/$D63)^(-'설정'!$C$6),('설정'!$C$35*IF($A63&gt;=31,1+'설정'!$C$14*'설정'!$E$35,1)/$D63)^(-'설정'!$C$7))&gt;('설정'!$C$4+'설정'!$F$35),"실패",ROUND($E63*'설정'!$C$5*IF(('설정'!$C$35*IF($A63&gt;=31,1+'설정'!$C$14*'설정'!$E$35,1)/$D63)&lt;1,('설정'!$C$35*IF($A63&gt;=31,1+'설정'!$C$14*'설정'!$E$35,1)/$D63)^(-'설정'!$C$6),('설정'!$C$35*IF($A63&gt;=31,1+'설정'!$C$14*'설정'!$E$35,1)/$D63)^(-'설정'!$C$7)),0))</f>
        <v/>
      </c>
      <c r="V63" s="8">
        <f>IF($E63*'설정'!$C$5*IF(('설정'!$C$36*IF($A63&gt;=31,1+'설정'!$C$14*'설정'!$E$36,1)/$D63)&lt;1,('설정'!$C$36*IF($A63&gt;=31,1+'설정'!$C$14*'설정'!$E$36,1)/$D63)^(-'설정'!$C$6),('설정'!$C$36*IF($A63&gt;=31,1+'설정'!$C$14*'설정'!$E$36,1)/$D63)^(-'설정'!$C$7))&gt;('설정'!$C$4+'설정'!$F$36),"실패",ROUND($E63*'설정'!$C$5*IF(('설정'!$C$36*IF($A63&gt;=31,1+'설정'!$C$14*'설정'!$E$36,1)/$D63)&lt;1,('설정'!$C$36*IF($A63&gt;=31,1+'설정'!$C$14*'설정'!$E$36,1)/$D63)^(-'설정'!$C$6),('설정'!$C$36*IF($A63&gt;=31,1+'설정'!$C$14*'설정'!$E$36,1)/$D63)^(-'설정'!$C$7)),0))</f>
        <v/>
      </c>
      <c r="W63" s="8">
        <f>IF($E63*'설정'!$C$5*IF(('설정'!$C$37*IF($A63&gt;=31,1+'설정'!$C$14*'설정'!$E$37,1)/$D63)&lt;1,('설정'!$C$37*IF($A63&gt;=31,1+'설정'!$C$14*'설정'!$E$37,1)/$D63)^(-'설정'!$C$6),('설정'!$C$37*IF($A63&gt;=31,1+'설정'!$C$14*'설정'!$E$37,1)/$D63)^(-'설정'!$C$7))&gt;('설정'!$C$4+'설정'!$F$37),"실패",ROUND($E63*'설정'!$C$5*IF(('설정'!$C$37*IF($A63&gt;=31,1+'설정'!$C$14*'설정'!$E$37,1)/$D63)&lt;1,('설정'!$C$37*IF($A63&gt;=31,1+'설정'!$C$14*'설정'!$E$37,1)/$D63)^(-'설정'!$C$6),('설정'!$C$37*IF($A63&gt;=31,1+'설정'!$C$14*'설정'!$E$37,1)/$D63)^(-'설정'!$C$7)),0))</f>
        <v/>
      </c>
    </row>
    <row r="64">
      <c r="A64" t="n">
        <v>62</v>
      </c>
      <c r="B64" t="inlineStr">
        <is>
          <t>쉬움</t>
        </is>
      </c>
      <c r="C64" t="inlineStr"/>
      <c r="D64" s="6" t="n">
        <v>5240000</v>
      </c>
      <c r="E64" t="n">
        <v>72</v>
      </c>
      <c r="F64" s="6" t="n">
        <v>105000</v>
      </c>
      <c r="G64" t="n">
        <v>61</v>
      </c>
      <c r="H64" s="8">
        <f>IF($E64*'설정'!$C$5*IF(('설정'!$C$22*IF($A64&gt;=31,1+'설정'!$C$14*'설정'!$E$22,1)/$D64)&lt;1,('설정'!$C$22*IF($A64&gt;=31,1+'설정'!$C$14*'설정'!$E$22,1)/$D64)^(-'설정'!$C$6),('설정'!$C$22*IF($A64&gt;=31,1+'설정'!$C$14*'설정'!$E$22,1)/$D64)^(-'설정'!$C$7))&gt;('설정'!$C$4+'설정'!$F$22),"실패",ROUND($E64*'설정'!$C$5*IF(('설정'!$C$22*IF($A64&gt;=31,1+'설정'!$C$14*'설정'!$E$22,1)/$D64)&lt;1,('설정'!$C$22*IF($A64&gt;=31,1+'설정'!$C$14*'설정'!$E$22,1)/$D64)^(-'설정'!$C$6),('설정'!$C$22*IF($A64&gt;=31,1+'설정'!$C$14*'설정'!$E$22,1)/$D64)^(-'설정'!$C$7)),0))</f>
        <v/>
      </c>
      <c r="I64" s="8">
        <f>IF($E64*'설정'!$C$5*IF(('설정'!$C$23*IF($A64&gt;=31,1+'설정'!$C$14*'설정'!$E$23,1)/$D64)&lt;1,('설정'!$C$23*IF($A64&gt;=31,1+'설정'!$C$14*'설정'!$E$23,1)/$D64)^(-'설정'!$C$6),('설정'!$C$23*IF($A64&gt;=31,1+'설정'!$C$14*'설정'!$E$23,1)/$D64)^(-'설정'!$C$7))&gt;('설정'!$C$4+'설정'!$F$23),"실패",ROUND($E64*'설정'!$C$5*IF(('설정'!$C$23*IF($A64&gt;=31,1+'설정'!$C$14*'설정'!$E$23,1)/$D64)&lt;1,('설정'!$C$23*IF($A64&gt;=31,1+'설정'!$C$14*'설정'!$E$23,1)/$D64)^(-'설정'!$C$6),('설정'!$C$23*IF($A64&gt;=31,1+'설정'!$C$14*'설정'!$E$23,1)/$D64)^(-'설정'!$C$7)),0))</f>
        <v/>
      </c>
      <c r="J64" s="8">
        <f>IF($E64*'설정'!$C$5*IF(('설정'!$C$24*IF($A64&gt;=31,1+'설정'!$C$14*'설정'!$E$24,1)/$D64)&lt;1,('설정'!$C$24*IF($A64&gt;=31,1+'설정'!$C$14*'설정'!$E$24,1)/$D64)^(-'설정'!$C$6),('설정'!$C$24*IF($A64&gt;=31,1+'설정'!$C$14*'설정'!$E$24,1)/$D64)^(-'설정'!$C$7))&gt;('설정'!$C$4+'설정'!$F$24),"실패",ROUND($E64*'설정'!$C$5*IF(('설정'!$C$24*IF($A64&gt;=31,1+'설정'!$C$14*'설정'!$E$24,1)/$D64)&lt;1,('설정'!$C$24*IF($A64&gt;=31,1+'설정'!$C$14*'설정'!$E$24,1)/$D64)^(-'설정'!$C$6),('설정'!$C$24*IF($A64&gt;=31,1+'설정'!$C$14*'설정'!$E$24,1)/$D64)^(-'설정'!$C$7)),0))</f>
        <v/>
      </c>
      <c r="K64" s="8">
        <f>IF($E64*'설정'!$C$5*IF(('설정'!$C$25*IF($A64&gt;=31,1+'설정'!$C$14*'설정'!$E$25,1)/$D64)&lt;1,('설정'!$C$25*IF($A64&gt;=31,1+'설정'!$C$14*'설정'!$E$25,1)/$D64)^(-'설정'!$C$6),('설정'!$C$25*IF($A64&gt;=31,1+'설정'!$C$14*'설정'!$E$25,1)/$D64)^(-'설정'!$C$7))&gt;('설정'!$C$4+'설정'!$F$25),"실패",ROUND($E64*'설정'!$C$5*IF(('설정'!$C$25*IF($A64&gt;=31,1+'설정'!$C$14*'설정'!$E$25,1)/$D64)&lt;1,('설정'!$C$25*IF($A64&gt;=31,1+'설정'!$C$14*'설정'!$E$25,1)/$D64)^(-'설정'!$C$6),('설정'!$C$25*IF($A64&gt;=31,1+'설정'!$C$14*'설정'!$E$25,1)/$D64)^(-'설정'!$C$7)),0))</f>
        <v/>
      </c>
      <c r="L64" s="8">
        <f>IF($E64*'설정'!$C$5*IF(('설정'!$C$26*IF($A64&gt;=31,1+'설정'!$C$14*'설정'!$E$26,1)/$D64)&lt;1,('설정'!$C$26*IF($A64&gt;=31,1+'설정'!$C$14*'설정'!$E$26,1)/$D64)^(-'설정'!$C$6),('설정'!$C$26*IF($A64&gt;=31,1+'설정'!$C$14*'설정'!$E$26,1)/$D64)^(-'설정'!$C$7))&gt;('설정'!$C$4+'설정'!$F$26),"실패",ROUND($E64*'설정'!$C$5*IF(('설정'!$C$26*IF($A64&gt;=31,1+'설정'!$C$14*'설정'!$E$26,1)/$D64)&lt;1,('설정'!$C$26*IF($A64&gt;=31,1+'설정'!$C$14*'설정'!$E$26,1)/$D64)^(-'설정'!$C$6),('설정'!$C$26*IF($A64&gt;=31,1+'설정'!$C$14*'설정'!$E$26,1)/$D64)^(-'설정'!$C$7)),0))</f>
        <v/>
      </c>
      <c r="M64" s="8">
        <f>IF($E64*'설정'!$C$5*IF(('설정'!$C$27*IF($A64&gt;=31,1+'설정'!$C$14*'설정'!$E$27,1)/$D64)&lt;1,('설정'!$C$27*IF($A64&gt;=31,1+'설정'!$C$14*'설정'!$E$27,1)/$D64)^(-'설정'!$C$6),('설정'!$C$27*IF($A64&gt;=31,1+'설정'!$C$14*'설정'!$E$27,1)/$D64)^(-'설정'!$C$7))&gt;('설정'!$C$4+'설정'!$F$27),"실패",ROUND($E64*'설정'!$C$5*IF(('설정'!$C$27*IF($A64&gt;=31,1+'설정'!$C$14*'설정'!$E$27,1)/$D64)&lt;1,('설정'!$C$27*IF($A64&gt;=31,1+'설정'!$C$14*'설정'!$E$27,1)/$D64)^(-'설정'!$C$6),('설정'!$C$27*IF($A64&gt;=31,1+'설정'!$C$14*'설정'!$E$27,1)/$D64)^(-'설정'!$C$7)),0))</f>
        <v/>
      </c>
      <c r="N64" s="8">
        <f>IF($E64*'설정'!$C$5*IF(('설정'!$C$28*IF($A64&gt;=31,1+'설정'!$C$14*'설정'!$E$28,1)/$D64)&lt;1,('설정'!$C$28*IF($A64&gt;=31,1+'설정'!$C$14*'설정'!$E$28,1)/$D64)^(-'설정'!$C$6),('설정'!$C$28*IF($A64&gt;=31,1+'설정'!$C$14*'설정'!$E$28,1)/$D64)^(-'설정'!$C$7))&gt;('설정'!$C$4+'설정'!$F$28),"실패",ROUND($E64*'설정'!$C$5*IF(('설정'!$C$28*IF($A64&gt;=31,1+'설정'!$C$14*'설정'!$E$28,1)/$D64)&lt;1,('설정'!$C$28*IF($A64&gt;=31,1+'설정'!$C$14*'설정'!$E$28,1)/$D64)^(-'설정'!$C$6),('설정'!$C$28*IF($A64&gt;=31,1+'설정'!$C$14*'설정'!$E$28,1)/$D64)^(-'설정'!$C$7)),0))</f>
        <v/>
      </c>
      <c r="O64" s="8">
        <f>IF($E64*'설정'!$C$5*IF(('설정'!$C$29*IF($A64&gt;=31,1+'설정'!$C$14*'설정'!$E$29,1)/$D64)&lt;1,('설정'!$C$29*IF($A64&gt;=31,1+'설정'!$C$14*'설정'!$E$29,1)/$D64)^(-'설정'!$C$6),('설정'!$C$29*IF($A64&gt;=31,1+'설정'!$C$14*'설정'!$E$29,1)/$D64)^(-'설정'!$C$7))&gt;('설정'!$C$4+'설정'!$F$29),"실패",ROUND($E64*'설정'!$C$5*IF(('설정'!$C$29*IF($A64&gt;=31,1+'설정'!$C$14*'설정'!$E$29,1)/$D64)&lt;1,('설정'!$C$29*IF($A64&gt;=31,1+'설정'!$C$14*'설정'!$E$29,1)/$D64)^(-'설정'!$C$6),('설정'!$C$29*IF($A64&gt;=31,1+'설정'!$C$14*'설정'!$E$29,1)/$D64)^(-'설정'!$C$7)),0))</f>
        <v/>
      </c>
      <c r="P64" s="8">
        <f>IF($E64*'설정'!$C$5*IF(('설정'!$C$30*IF($A64&gt;=31,1+'설정'!$C$14*'설정'!$E$30,1)/$D64)&lt;1,('설정'!$C$30*IF($A64&gt;=31,1+'설정'!$C$14*'설정'!$E$30,1)/$D64)^(-'설정'!$C$6),('설정'!$C$30*IF($A64&gt;=31,1+'설정'!$C$14*'설정'!$E$30,1)/$D64)^(-'설정'!$C$7))&gt;('설정'!$C$4+'설정'!$F$30),"실패",ROUND($E64*'설정'!$C$5*IF(('설정'!$C$30*IF($A64&gt;=31,1+'설정'!$C$14*'설정'!$E$30,1)/$D64)&lt;1,('설정'!$C$30*IF($A64&gt;=31,1+'설정'!$C$14*'설정'!$E$30,1)/$D64)^(-'설정'!$C$6),('설정'!$C$30*IF($A64&gt;=31,1+'설정'!$C$14*'설정'!$E$30,1)/$D64)^(-'설정'!$C$7)),0))</f>
        <v/>
      </c>
      <c r="Q64" s="8">
        <f>IF($E64*'설정'!$C$5*IF(('설정'!$C$31*IF($A64&gt;=31,1+'설정'!$C$14*'설정'!$E$31,1)/$D64)&lt;1,('설정'!$C$31*IF($A64&gt;=31,1+'설정'!$C$14*'설정'!$E$31,1)/$D64)^(-'설정'!$C$6),('설정'!$C$31*IF($A64&gt;=31,1+'설정'!$C$14*'설정'!$E$31,1)/$D64)^(-'설정'!$C$7))&gt;('설정'!$C$4+'설정'!$F$31),"실패",ROUND($E64*'설정'!$C$5*IF(('설정'!$C$31*IF($A64&gt;=31,1+'설정'!$C$14*'설정'!$E$31,1)/$D64)&lt;1,('설정'!$C$31*IF($A64&gt;=31,1+'설정'!$C$14*'설정'!$E$31,1)/$D64)^(-'설정'!$C$6),('설정'!$C$31*IF($A64&gt;=31,1+'설정'!$C$14*'설정'!$E$31,1)/$D64)^(-'설정'!$C$7)),0))</f>
        <v/>
      </c>
      <c r="R64" s="8">
        <f>IF($E64*'설정'!$C$5*IF(('설정'!$C$32*IF($A64&gt;=31,1+'설정'!$C$14*'설정'!$E$32,1)/$D64)&lt;1,('설정'!$C$32*IF($A64&gt;=31,1+'설정'!$C$14*'설정'!$E$32,1)/$D64)^(-'설정'!$C$6),('설정'!$C$32*IF($A64&gt;=31,1+'설정'!$C$14*'설정'!$E$32,1)/$D64)^(-'설정'!$C$7))&gt;('설정'!$C$4+'설정'!$F$32),"실패",ROUND($E64*'설정'!$C$5*IF(('설정'!$C$32*IF($A64&gt;=31,1+'설정'!$C$14*'설정'!$E$32,1)/$D64)&lt;1,('설정'!$C$32*IF($A64&gt;=31,1+'설정'!$C$14*'설정'!$E$32,1)/$D64)^(-'설정'!$C$6),('설정'!$C$32*IF($A64&gt;=31,1+'설정'!$C$14*'설정'!$E$32,1)/$D64)^(-'설정'!$C$7)),0))</f>
        <v/>
      </c>
      <c r="S64" s="8">
        <f>IF($E64*'설정'!$C$5*IF(('설정'!$C$33*IF($A64&gt;=31,1+'설정'!$C$14*'설정'!$E$33,1)/$D64)&lt;1,('설정'!$C$33*IF($A64&gt;=31,1+'설정'!$C$14*'설정'!$E$33,1)/$D64)^(-'설정'!$C$6),('설정'!$C$33*IF($A64&gt;=31,1+'설정'!$C$14*'설정'!$E$33,1)/$D64)^(-'설정'!$C$7))&gt;('설정'!$C$4+'설정'!$F$33),"실패",ROUND($E64*'설정'!$C$5*IF(('설정'!$C$33*IF($A64&gt;=31,1+'설정'!$C$14*'설정'!$E$33,1)/$D64)&lt;1,('설정'!$C$33*IF($A64&gt;=31,1+'설정'!$C$14*'설정'!$E$33,1)/$D64)^(-'설정'!$C$6),('설정'!$C$33*IF($A64&gt;=31,1+'설정'!$C$14*'설정'!$E$33,1)/$D64)^(-'설정'!$C$7)),0))</f>
        <v/>
      </c>
      <c r="T64" s="8">
        <f>IF($E64*'설정'!$C$5*IF(('설정'!$C$34*IF($A64&gt;=31,1+'설정'!$C$14*'설정'!$E$34,1)/$D64)&lt;1,('설정'!$C$34*IF($A64&gt;=31,1+'설정'!$C$14*'설정'!$E$34,1)/$D64)^(-'설정'!$C$6),('설정'!$C$34*IF($A64&gt;=31,1+'설정'!$C$14*'설정'!$E$34,1)/$D64)^(-'설정'!$C$7))&gt;('설정'!$C$4+'설정'!$F$34),"실패",ROUND($E64*'설정'!$C$5*IF(('설정'!$C$34*IF($A64&gt;=31,1+'설정'!$C$14*'설정'!$E$34,1)/$D64)&lt;1,('설정'!$C$34*IF($A64&gt;=31,1+'설정'!$C$14*'설정'!$E$34,1)/$D64)^(-'설정'!$C$6),('설정'!$C$34*IF($A64&gt;=31,1+'설정'!$C$14*'설정'!$E$34,1)/$D64)^(-'설정'!$C$7)),0))</f>
        <v/>
      </c>
      <c r="U64" s="8">
        <f>IF($E64*'설정'!$C$5*IF(('설정'!$C$35*IF($A64&gt;=31,1+'설정'!$C$14*'설정'!$E$35,1)/$D64)&lt;1,('설정'!$C$35*IF($A64&gt;=31,1+'설정'!$C$14*'설정'!$E$35,1)/$D64)^(-'설정'!$C$6),('설정'!$C$35*IF($A64&gt;=31,1+'설정'!$C$14*'설정'!$E$35,1)/$D64)^(-'설정'!$C$7))&gt;('설정'!$C$4+'설정'!$F$35),"실패",ROUND($E64*'설정'!$C$5*IF(('설정'!$C$35*IF($A64&gt;=31,1+'설정'!$C$14*'설정'!$E$35,1)/$D64)&lt;1,('설정'!$C$35*IF($A64&gt;=31,1+'설정'!$C$14*'설정'!$E$35,1)/$D64)^(-'설정'!$C$6),('설정'!$C$35*IF($A64&gt;=31,1+'설정'!$C$14*'설정'!$E$35,1)/$D64)^(-'설정'!$C$7)),0))</f>
        <v/>
      </c>
      <c r="V64" s="8">
        <f>IF($E64*'설정'!$C$5*IF(('설정'!$C$36*IF($A64&gt;=31,1+'설정'!$C$14*'설정'!$E$36,1)/$D64)&lt;1,('설정'!$C$36*IF($A64&gt;=31,1+'설정'!$C$14*'설정'!$E$36,1)/$D64)^(-'설정'!$C$6),('설정'!$C$36*IF($A64&gt;=31,1+'설정'!$C$14*'설정'!$E$36,1)/$D64)^(-'설정'!$C$7))&gt;('설정'!$C$4+'설정'!$F$36),"실패",ROUND($E64*'설정'!$C$5*IF(('설정'!$C$36*IF($A64&gt;=31,1+'설정'!$C$14*'설정'!$E$36,1)/$D64)&lt;1,('설정'!$C$36*IF($A64&gt;=31,1+'설정'!$C$14*'설정'!$E$36,1)/$D64)^(-'설정'!$C$6),('설정'!$C$36*IF($A64&gt;=31,1+'설정'!$C$14*'설정'!$E$36,1)/$D64)^(-'설정'!$C$7)),0))</f>
        <v/>
      </c>
      <c r="W64" s="8">
        <f>IF($E64*'설정'!$C$5*IF(('설정'!$C$37*IF($A64&gt;=31,1+'설정'!$C$14*'설정'!$E$37,1)/$D64)&lt;1,('설정'!$C$37*IF($A64&gt;=31,1+'설정'!$C$14*'설정'!$E$37,1)/$D64)^(-'설정'!$C$6),('설정'!$C$37*IF($A64&gt;=31,1+'설정'!$C$14*'설정'!$E$37,1)/$D64)^(-'설정'!$C$7))&gt;('설정'!$C$4+'설정'!$F$37),"실패",ROUND($E64*'설정'!$C$5*IF(('설정'!$C$37*IF($A64&gt;=31,1+'설정'!$C$14*'설정'!$E$37,1)/$D64)&lt;1,('설정'!$C$37*IF($A64&gt;=31,1+'설정'!$C$14*'설정'!$E$37,1)/$D64)^(-'설정'!$C$6),('설정'!$C$37*IF($A64&gt;=31,1+'설정'!$C$14*'설정'!$E$37,1)/$D64)^(-'설정'!$C$7)),0))</f>
        <v/>
      </c>
    </row>
    <row r="65">
      <c r="A65" t="n">
        <v>63</v>
      </c>
      <c r="B65" t="inlineStr">
        <is>
          <t>보통</t>
        </is>
      </c>
      <c r="C65" t="inlineStr"/>
      <c r="D65" s="6" t="n">
        <v>5770000</v>
      </c>
      <c r="E65" t="n">
        <v>72</v>
      </c>
      <c r="F65" s="6" t="n">
        <v>115000</v>
      </c>
      <c r="G65" t="n">
        <v>61</v>
      </c>
      <c r="H65" s="8">
        <f>IF($E65*'설정'!$C$5*IF(('설정'!$C$22*IF($A65&gt;=31,1+'설정'!$C$14*'설정'!$E$22,1)/$D65)&lt;1,('설정'!$C$22*IF($A65&gt;=31,1+'설정'!$C$14*'설정'!$E$22,1)/$D65)^(-'설정'!$C$6),('설정'!$C$22*IF($A65&gt;=31,1+'설정'!$C$14*'설정'!$E$22,1)/$D65)^(-'설정'!$C$7))&gt;('설정'!$C$4+'설정'!$F$22),"실패",ROUND($E65*'설정'!$C$5*IF(('설정'!$C$22*IF($A65&gt;=31,1+'설정'!$C$14*'설정'!$E$22,1)/$D65)&lt;1,('설정'!$C$22*IF($A65&gt;=31,1+'설정'!$C$14*'설정'!$E$22,1)/$D65)^(-'설정'!$C$6),('설정'!$C$22*IF($A65&gt;=31,1+'설정'!$C$14*'설정'!$E$22,1)/$D65)^(-'설정'!$C$7)),0))</f>
        <v/>
      </c>
      <c r="I65" s="8">
        <f>IF($E65*'설정'!$C$5*IF(('설정'!$C$23*IF($A65&gt;=31,1+'설정'!$C$14*'설정'!$E$23,1)/$D65)&lt;1,('설정'!$C$23*IF($A65&gt;=31,1+'설정'!$C$14*'설정'!$E$23,1)/$D65)^(-'설정'!$C$6),('설정'!$C$23*IF($A65&gt;=31,1+'설정'!$C$14*'설정'!$E$23,1)/$D65)^(-'설정'!$C$7))&gt;('설정'!$C$4+'설정'!$F$23),"실패",ROUND($E65*'설정'!$C$5*IF(('설정'!$C$23*IF($A65&gt;=31,1+'설정'!$C$14*'설정'!$E$23,1)/$D65)&lt;1,('설정'!$C$23*IF($A65&gt;=31,1+'설정'!$C$14*'설정'!$E$23,1)/$D65)^(-'설정'!$C$6),('설정'!$C$23*IF($A65&gt;=31,1+'설정'!$C$14*'설정'!$E$23,1)/$D65)^(-'설정'!$C$7)),0))</f>
        <v/>
      </c>
      <c r="J65" s="8">
        <f>IF($E65*'설정'!$C$5*IF(('설정'!$C$24*IF($A65&gt;=31,1+'설정'!$C$14*'설정'!$E$24,1)/$D65)&lt;1,('설정'!$C$24*IF($A65&gt;=31,1+'설정'!$C$14*'설정'!$E$24,1)/$D65)^(-'설정'!$C$6),('설정'!$C$24*IF($A65&gt;=31,1+'설정'!$C$14*'설정'!$E$24,1)/$D65)^(-'설정'!$C$7))&gt;('설정'!$C$4+'설정'!$F$24),"실패",ROUND($E65*'설정'!$C$5*IF(('설정'!$C$24*IF($A65&gt;=31,1+'설정'!$C$14*'설정'!$E$24,1)/$D65)&lt;1,('설정'!$C$24*IF($A65&gt;=31,1+'설정'!$C$14*'설정'!$E$24,1)/$D65)^(-'설정'!$C$6),('설정'!$C$24*IF($A65&gt;=31,1+'설정'!$C$14*'설정'!$E$24,1)/$D65)^(-'설정'!$C$7)),0))</f>
        <v/>
      </c>
      <c r="K65" s="8">
        <f>IF($E65*'설정'!$C$5*IF(('설정'!$C$25*IF($A65&gt;=31,1+'설정'!$C$14*'설정'!$E$25,1)/$D65)&lt;1,('설정'!$C$25*IF($A65&gt;=31,1+'설정'!$C$14*'설정'!$E$25,1)/$D65)^(-'설정'!$C$6),('설정'!$C$25*IF($A65&gt;=31,1+'설정'!$C$14*'설정'!$E$25,1)/$D65)^(-'설정'!$C$7))&gt;('설정'!$C$4+'설정'!$F$25),"실패",ROUND($E65*'설정'!$C$5*IF(('설정'!$C$25*IF($A65&gt;=31,1+'설정'!$C$14*'설정'!$E$25,1)/$D65)&lt;1,('설정'!$C$25*IF($A65&gt;=31,1+'설정'!$C$14*'설정'!$E$25,1)/$D65)^(-'설정'!$C$6),('설정'!$C$25*IF($A65&gt;=31,1+'설정'!$C$14*'설정'!$E$25,1)/$D65)^(-'설정'!$C$7)),0))</f>
        <v/>
      </c>
      <c r="L65" s="8">
        <f>IF($E65*'설정'!$C$5*IF(('설정'!$C$26*IF($A65&gt;=31,1+'설정'!$C$14*'설정'!$E$26,1)/$D65)&lt;1,('설정'!$C$26*IF($A65&gt;=31,1+'설정'!$C$14*'설정'!$E$26,1)/$D65)^(-'설정'!$C$6),('설정'!$C$26*IF($A65&gt;=31,1+'설정'!$C$14*'설정'!$E$26,1)/$D65)^(-'설정'!$C$7))&gt;('설정'!$C$4+'설정'!$F$26),"실패",ROUND($E65*'설정'!$C$5*IF(('설정'!$C$26*IF($A65&gt;=31,1+'설정'!$C$14*'설정'!$E$26,1)/$D65)&lt;1,('설정'!$C$26*IF($A65&gt;=31,1+'설정'!$C$14*'설정'!$E$26,1)/$D65)^(-'설정'!$C$6),('설정'!$C$26*IF($A65&gt;=31,1+'설정'!$C$14*'설정'!$E$26,1)/$D65)^(-'설정'!$C$7)),0))</f>
        <v/>
      </c>
      <c r="M65" s="8">
        <f>IF($E65*'설정'!$C$5*IF(('설정'!$C$27*IF($A65&gt;=31,1+'설정'!$C$14*'설정'!$E$27,1)/$D65)&lt;1,('설정'!$C$27*IF($A65&gt;=31,1+'설정'!$C$14*'설정'!$E$27,1)/$D65)^(-'설정'!$C$6),('설정'!$C$27*IF($A65&gt;=31,1+'설정'!$C$14*'설정'!$E$27,1)/$D65)^(-'설정'!$C$7))&gt;('설정'!$C$4+'설정'!$F$27),"실패",ROUND($E65*'설정'!$C$5*IF(('설정'!$C$27*IF($A65&gt;=31,1+'설정'!$C$14*'설정'!$E$27,1)/$D65)&lt;1,('설정'!$C$27*IF($A65&gt;=31,1+'설정'!$C$14*'설정'!$E$27,1)/$D65)^(-'설정'!$C$6),('설정'!$C$27*IF($A65&gt;=31,1+'설정'!$C$14*'설정'!$E$27,1)/$D65)^(-'설정'!$C$7)),0))</f>
        <v/>
      </c>
      <c r="N65" s="8">
        <f>IF($E65*'설정'!$C$5*IF(('설정'!$C$28*IF($A65&gt;=31,1+'설정'!$C$14*'설정'!$E$28,1)/$D65)&lt;1,('설정'!$C$28*IF($A65&gt;=31,1+'설정'!$C$14*'설정'!$E$28,1)/$D65)^(-'설정'!$C$6),('설정'!$C$28*IF($A65&gt;=31,1+'설정'!$C$14*'설정'!$E$28,1)/$D65)^(-'설정'!$C$7))&gt;('설정'!$C$4+'설정'!$F$28),"실패",ROUND($E65*'설정'!$C$5*IF(('설정'!$C$28*IF($A65&gt;=31,1+'설정'!$C$14*'설정'!$E$28,1)/$D65)&lt;1,('설정'!$C$28*IF($A65&gt;=31,1+'설정'!$C$14*'설정'!$E$28,1)/$D65)^(-'설정'!$C$6),('설정'!$C$28*IF($A65&gt;=31,1+'설정'!$C$14*'설정'!$E$28,1)/$D65)^(-'설정'!$C$7)),0))</f>
        <v/>
      </c>
      <c r="O65" s="8">
        <f>IF($E65*'설정'!$C$5*IF(('설정'!$C$29*IF($A65&gt;=31,1+'설정'!$C$14*'설정'!$E$29,1)/$D65)&lt;1,('설정'!$C$29*IF($A65&gt;=31,1+'설정'!$C$14*'설정'!$E$29,1)/$D65)^(-'설정'!$C$6),('설정'!$C$29*IF($A65&gt;=31,1+'설정'!$C$14*'설정'!$E$29,1)/$D65)^(-'설정'!$C$7))&gt;('설정'!$C$4+'설정'!$F$29),"실패",ROUND($E65*'설정'!$C$5*IF(('설정'!$C$29*IF($A65&gt;=31,1+'설정'!$C$14*'설정'!$E$29,1)/$D65)&lt;1,('설정'!$C$29*IF($A65&gt;=31,1+'설정'!$C$14*'설정'!$E$29,1)/$D65)^(-'설정'!$C$6),('설정'!$C$29*IF($A65&gt;=31,1+'설정'!$C$14*'설정'!$E$29,1)/$D65)^(-'설정'!$C$7)),0))</f>
        <v/>
      </c>
      <c r="P65" s="8">
        <f>IF($E65*'설정'!$C$5*IF(('설정'!$C$30*IF($A65&gt;=31,1+'설정'!$C$14*'설정'!$E$30,1)/$D65)&lt;1,('설정'!$C$30*IF($A65&gt;=31,1+'설정'!$C$14*'설정'!$E$30,1)/$D65)^(-'설정'!$C$6),('설정'!$C$30*IF($A65&gt;=31,1+'설정'!$C$14*'설정'!$E$30,1)/$D65)^(-'설정'!$C$7))&gt;('설정'!$C$4+'설정'!$F$30),"실패",ROUND($E65*'설정'!$C$5*IF(('설정'!$C$30*IF($A65&gt;=31,1+'설정'!$C$14*'설정'!$E$30,1)/$D65)&lt;1,('설정'!$C$30*IF($A65&gt;=31,1+'설정'!$C$14*'설정'!$E$30,1)/$D65)^(-'설정'!$C$6),('설정'!$C$30*IF($A65&gt;=31,1+'설정'!$C$14*'설정'!$E$30,1)/$D65)^(-'설정'!$C$7)),0))</f>
        <v/>
      </c>
      <c r="Q65" s="8">
        <f>IF($E65*'설정'!$C$5*IF(('설정'!$C$31*IF($A65&gt;=31,1+'설정'!$C$14*'설정'!$E$31,1)/$D65)&lt;1,('설정'!$C$31*IF($A65&gt;=31,1+'설정'!$C$14*'설정'!$E$31,1)/$D65)^(-'설정'!$C$6),('설정'!$C$31*IF($A65&gt;=31,1+'설정'!$C$14*'설정'!$E$31,1)/$D65)^(-'설정'!$C$7))&gt;('설정'!$C$4+'설정'!$F$31),"실패",ROUND($E65*'설정'!$C$5*IF(('설정'!$C$31*IF($A65&gt;=31,1+'설정'!$C$14*'설정'!$E$31,1)/$D65)&lt;1,('설정'!$C$31*IF($A65&gt;=31,1+'설정'!$C$14*'설정'!$E$31,1)/$D65)^(-'설정'!$C$6),('설정'!$C$31*IF($A65&gt;=31,1+'설정'!$C$14*'설정'!$E$31,1)/$D65)^(-'설정'!$C$7)),0))</f>
        <v/>
      </c>
      <c r="R65" s="8">
        <f>IF($E65*'설정'!$C$5*IF(('설정'!$C$32*IF($A65&gt;=31,1+'설정'!$C$14*'설정'!$E$32,1)/$D65)&lt;1,('설정'!$C$32*IF($A65&gt;=31,1+'설정'!$C$14*'설정'!$E$32,1)/$D65)^(-'설정'!$C$6),('설정'!$C$32*IF($A65&gt;=31,1+'설정'!$C$14*'설정'!$E$32,1)/$D65)^(-'설정'!$C$7))&gt;('설정'!$C$4+'설정'!$F$32),"실패",ROUND($E65*'설정'!$C$5*IF(('설정'!$C$32*IF($A65&gt;=31,1+'설정'!$C$14*'설정'!$E$32,1)/$D65)&lt;1,('설정'!$C$32*IF($A65&gt;=31,1+'설정'!$C$14*'설정'!$E$32,1)/$D65)^(-'설정'!$C$6),('설정'!$C$32*IF($A65&gt;=31,1+'설정'!$C$14*'설정'!$E$32,1)/$D65)^(-'설정'!$C$7)),0))</f>
        <v/>
      </c>
      <c r="S65" s="8">
        <f>IF($E65*'설정'!$C$5*IF(('설정'!$C$33*IF($A65&gt;=31,1+'설정'!$C$14*'설정'!$E$33,1)/$D65)&lt;1,('설정'!$C$33*IF($A65&gt;=31,1+'설정'!$C$14*'설정'!$E$33,1)/$D65)^(-'설정'!$C$6),('설정'!$C$33*IF($A65&gt;=31,1+'설정'!$C$14*'설정'!$E$33,1)/$D65)^(-'설정'!$C$7))&gt;('설정'!$C$4+'설정'!$F$33),"실패",ROUND($E65*'설정'!$C$5*IF(('설정'!$C$33*IF($A65&gt;=31,1+'설정'!$C$14*'설정'!$E$33,1)/$D65)&lt;1,('설정'!$C$33*IF($A65&gt;=31,1+'설정'!$C$14*'설정'!$E$33,1)/$D65)^(-'설정'!$C$6),('설정'!$C$33*IF($A65&gt;=31,1+'설정'!$C$14*'설정'!$E$33,1)/$D65)^(-'설정'!$C$7)),0))</f>
        <v/>
      </c>
      <c r="T65" s="8">
        <f>IF($E65*'설정'!$C$5*IF(('설정'!$C$34*IF($A65&gt;=31,1+'설정'!$C$14*'설정'!$E$34,1)/$D65)&lt;1,('설정'!$C$34*IF($A65&gt;=31,1+'설정'!$C$14*'설정'!$E$34,1)/$D65)^(-'설정'!$C$6),('설정'!$C$34*IF($A65&gt;=31,1+'설정'!$C$14*'설정'!$E$34,1)/$D65)^(-'설정'!$C$7))&gt;('설정'!$C$4+'설정'!$F$34),"실패",ROUND($E65*'설정'!$C$5*IF(('설정'!$C$34*IF($A65&gt;=31,1+'설정'!$C$14*'설정'!$E$34,1)/$D65)&lt;1,('설정'!$C$34*IF($A65&gt;=31,1+'설정'!$C$14*'설정'!$E$34,1)/$D65)^(-'설정'!$C$6),('설정'!$C$34*IF($A65&gt;=31,1+'설정'!$C$14*'설정'!$E$34,1)/$D65)^(-'설정'!$C$7)),0))</f>
        <v/>
      </c>
      <c r="U65" s="8">
        <f>IF($E65*'설정'!$C$5*IF(('설정'!$C$35*IF($A65&gt;=31,1+'설정'!$C$14*'설정'!$E$35,1)/$D65)&lt;1,('설정'!$C$35*IF($A65&gt;=31,1+'설정'!$C$14*'설정'!$E$35,1)/$D65)^(-'설정'!$C$6),('설정'!$C$35*IF($A65&gt;=31,1+'설정'!$C$14*'설정'!$E$35,1)/$D65)^(-'설정'!$C$7))&gt;('설정'!$C$4+'설정'!$F$35),"실패",ROUND($E65*'설정'!$C$5*IF(('설정'!$C$35*IF($A65&gt;=31,1+'설정'!$C$14*'설정'!$E$35,1)/$D65)&lt;1,('설정'!$C$35*IF($A65&gt;=31,1+'설정'!$C$14*'설정'!$E$35,1)/$D65)^(-'설정'!$C$6),('설정'!$C$35*IF($A65&gt;=31,1+'설정'!$C$14*'설정'!$E$35,1)/$D65)^(-'설정'!$C$7)),0))</f>
        <v/>
      </c>
      <c r="V65" s="8">
        <f>IF($E65*'설정'!$C$5*IF(('설정'!$C$36*IF($A65&gt;=31,1+'설정'!$C$14*'설정'!$E$36,1)/$D65)&lt;1,('설정'!$C$36*IF($A65&gt;=31,1+'설정'!$C$14*'설정'!$E$36,1)/$D65)^(-'설정'!$C$6),('설정'!$C$36*IF($A65&gt;=31,1+'설정'!$C$14*'설정'!$E$36,1)/$D65)^(-'설정'!$C$7))&gt;('설정'!$C$4+'설정'!$F$36),"실패",ROUND($E65*'설정'!$C$5*IF(('설정'!$C$36*IF($A65&gt;=31,1+'설정'!$C$14*'설정'!$E$36,1)/$D65)&lt;1,('설정'!$C$36*IF($A65&gt;=31,1+'설정'!$C$14*'설정'!$E$36,1)/$D65)^(-'설정'!$C$6),('설정'!$C$36*IF($A65&gt;=31,1+'설정'!$C$14*'설정'!$E$36,1)/$D65)^(-'설정'!$C$7)),0))</f>
        <v/>
      </c>
      <c r="W65" s="8">
        <f>IF($E65*'설정'!$C$5*IF(('설정'!$C$37*IF($A65&gt;=31,1+'설정'!$C$14*'설정'!$E$37,1)/$D65)&lt;1,('설정'!$C$37*IF($A65&gt;=31,1+'설정'!$C$14*'설정'!$E$37,1)/$D65)^(-'설정'!$C$6),('설정'!$C$37*IF($A65&gt;=31,1+'설정'!$C$14*'설정'!$E$37,1)/$D65)^(-'설정'!$C$7))&gt;('설정'!$C$4+'설정'!$F$37),"실패",ROUND($E65*'설정'!$C$5*IF(('설정'!$C$37*IF($A65&gt;=31,1+'설정'!$C$14*'설정'!$E$37,1)/$D65)&lt;1,('설정'!$C$37*IF($A65&gt;=31,1+'설정'!$C$14*'설정'!$E$37,1)/$D65)^(-'설정'!$C$6),('설정'!$C$37*IF($A65&gt;=31,1+'설정'!$C$14*'설정'!$E$37,1)/$D65)^(-'설정'!$C$7)),0))</f>
        <v/>
      </c>
    </row>
    <row r="66">
      <c r="A66" t="n">
        <v>64</v>
      </c>
      <c r="B66" t="inlineStr">
        <is>
          <t>보통</t>
        </is>
      </c>
      <c r="C66" t="inlineStr"/>
      <c r="D66" s="6" t="n">
        <v>6350000</v>
      </c>
      <c r="E66" t="n">
        <v>72</v>
      </c>
      <c r="F66" s="6" t="n">
        <v>127000</v>
      </c>
      <c r="G66" t="n">
        <v>61</v>
      </c>
      <c r="H66" s="8">
        <f>IF($E66*'설정'!$C$5*IF(('설정'!$C$22*IF($A66&gt;=31,1+'설정'!$C$14*'설정'!$E$22,1)/$D66)&lt;1,('설정'!$C$22*IF($A66&gt;=31,1+'설정'!$C$14*'설정'!$E$22,1)/$D66)^(-'설정'!$C$6),('설정'!$C$22*IF($A66&gt;=31,1+'설정'!$C$14*'설정'!$E$22,1)/$D66)^(-'설정'!$C$7))&gt;('설정'!$C$4+'설정'!$F$22),"실패",ROUND($E66*'설정'!$C$5*IF(('설정'!$C$22*IF($A66&gt;=31,1+'설정'!$C$14*'설정'!$E$22,1)/$D66)&lt;1,('설정'!$C$22*IF($A66&gt;=31,1+'설정'!$C$14*'설정'!$E$22,1)/$D66)^(-'설정'!$C$6),('설정'!$C$22*IF($A66&gt;=31,1+'설정'!$C$14*'설정'!$E$22,1)/$D66)^(-'설정'!$C$7)),0))</f>
        <v/>
      </c>
      <c r="I66" s="8">
        <f>IF($E66*'설정'!$C$5*IF(('설정'!$C$23*IF($A66&gt;=31,1+'설정'!$C$14*'설정'!$E$23,1)/$D66)&lt;1,('설정'!$C$23*IF($A66&gt;=31,1+'설정'!$C$14*'설정'!$E$23,1)/$D66)^(-'설정'!$C$6),('설정'!$C$23*IF($A66&gt;=31,1+'설정'!$C$14*'설정'!$E$23,1)/$D66)^(-'설정'!$C$7))&gt;('설정'!$C$4+'설정'!$F$23),"실패",ROUND($E66*'설정'!$C$5*IF(('설정'!$C$23*IF($A66&gt;=31,1+'설정'!$C$14*'설정'!$E$23,1)/$D66)&lt;1,('설정'!$C$23*IF($A66&gt;=31,1+'설정'!$C$14*'설정'!$E$23,1)/$D66)^(-'설정'!$C$6),('설정'!$C$23*IF($A66&gt;=31,1+'설정'!$C$14*'설정'!$E$23,1)/$D66)^(-'설정'!$C$7)),0))</f>
        <v/>
      </c>
      <c r="J66" s="8">
        <f>IF($E66*'설정'!$C$5*IF(('설정'!$C$24*IF($A66&gt;=31,1+'설정'!$C$14*'설정'!$E$24,1)/$D66)&lt;1,('설정'!$C$24*IF($A66&gt;=31,1+'설정'!$C$14*'설정'!$E$24,1)/$D66)^(-'설정'!$C$6),('설정'!$C$24*IF($A66&gt;=31,1+'설정'!$C$14*'설정'!$E$24,1)/$D66)^(-'설정'!$C$7))&gt;('설정'!$C$4+'설정'!$F$24),"실패",ROUND($E66*'설정'!$C$5*IF(('설정'!$C$24*IF($A66&gt;=31,1+'설정'!$C$14*'설정'!$E$24,1)/$D66)&lt;1,('설정'!$C$24*IF($A66&gt;=31,1+'설정'!$C$14*'설정'!$E$24,1)/$D66)^(-'설정'!$C$6),('설정'!$C$24*IF($A66&gt;=31,1+'설정'!$C$14*'설정'!$E$24,1)/$D66)^(-'설정'!$C$7)),0))</f>
        <v/>
      </c>
      <c r="K66" s="8">
        <f>IF($E66*'설정'!$C$5*IF(('설정'!$C$25*IF($A66&gt;=31,1+'설정'!$C$14*'설정'!$E$25,1)/$D66)&lt;1,('설정'!$C$25*IF($A66&gt;=31,1+'설정'!$C$14*'설정'!$E$25,1)/$D66)^(-'설정'!$C$6),('설정'!$C$25*IF($A66&gt;=31,1+'설정'!$C$14*'설정'!$E$25,1)/$D66)^(-'설정'!$C$7))&gt;('설정'!$C$4+'설정'!$F$25),"실패",ROUND($E66*'설정'!$C$5*IF(('설정'!$C$25*IF($A66&gt;=31,1+'설정'!$C$14*'설정'!$E$25,1)/$D66)&lt;1,('설정'!$C$25*IF($A66&gt;=31,1+'설정'!$C$14*'설정'!$E$25,1)/$D66)^(-'설정'!$C$6),('설정'!$C$25*IF($A66&gt;=31,1+'설정'!$C$14*'설정'!$E$25,1)/$D66)^(-'설정'!$C$7)),0))</f>
        <v/>
      </c>
      <c r="L66" s="8">
        <f>IF($E66*'설정'!$C$5*IF(('설정'!$C$26*IF($A66&gt;=31,1+'설정'!$C$14*'설정'!$E$26,1)/$D66)&lt;1,('설정'!$C$26*IF($A66&gt;=31,1+'설정'!$C$14*'설정'!$E$26,1)/$D66)^(-'설정'!$C$6),('설정'!$C$26*IF($A66&gt;=31,1+'설정'!$C$14*'설정'!$E$26,1)/$D66)^(-'설정'!$C$7))&gt;('설정'!$C$4+'설정'!$F$26),"실패",ROUND($E66*'설정'!$C$5*IF(('설정'!$C$26*IF($A66&gt;=31,1+'설정'!$C$14*'설정'!$E$26,1)/$D66)&lt;1,('설정'!$C$26*IF($A66&gt;=31,1+'설정'!$C$14*'설정'!$E$26,1)/$D66)^(-'설정'!$C$6),('설정'!$C$26*IF($A66&gt;=31,1+'설정'!$C$14*'설정'!$E$26,1)/$D66)^(-'설정'!$C$7)),0))</f>
        <v/>
      </c>
      <c r="M66" s="8">
        <f>IF($E66*'설정'!$C$5*IF(('설정'!$C$27*IF($A66&gt;=31,1+'설정'!$C$14*'설정'!$E$27,1)/$D66)&lt;1,('설정'!$C$27*IF($A66&gt;=31,1+'설정'!$C$14*'설정'!$E$27,1)/$D66)^(-'설정'!$C$6),('설정'!$C$27*IF($A66&gt;=31,1+'설정'!$C$14*'설정'!$E$27,1)/$D66)^(-'설정'!$C$7))&gt;('설정'!$C$4+'설정'!$F$27),"실패",ROUND($E66*'설정'!$C$5*IF(('설정'!$C$27*IF($A66&gt;=31,1+'설정'!$C$14*'설정'!$E$27,1)/$D66)&lt;1,('설정'!$C$27*IF($A66&gt;=31,1+'설정'!$C$14*'설정'!$E$27,1)/$D66)^(-'설정'!$C$6),('설정'!$C$27*IF($A66&gt;=31,1+'설정'!$C$14*'설정'!$E$27,1)/$D66)^(-'설정'!$C$7)),0))</f>
        <v/>
      </c>
      <c r="N66" s="8">
        <f>IF($E66*'설정'!$C$5*IF(('설정'!$C$28*IF($A66&gt;=31,1+'설정'!$C$14*'설정'!$E$28,1)/$D66)&lt;1,('설정'!$C$28*IF($A66&gt;=31,1+'설정'!$C$14*'설정'!$E$28,1)/$D66)^(-'설정'!$C$6),('설정'!$C$28*IF($A66&gt;=31,1+'설정'!$C$14*'설정'!$E$28,1)/$D66)^(-'설정'!$C$7))&gt;('설정'!$C$4+'설정'!$F$28),"실패",ROUND($E66*'설정'!$C$5*IF(('설정'!$C$28*IF($A66&gt;=31,1+'설정'!$C$14*'설정'!$E$28,1)/$D66)&lt;1,('설정'!$C$28*IF($A66&gt;=31,1+'설정'!$C$14*'설정'!$E$28,1)/$D66)^(-'설정'!$C$6),('설정'!$C$28*IF($A66&gt;=31,1+'설정'!$C$14*'설정'!$E$28,1)/$D66)^(-'설정'!$C$7)),0))</f>
        <v/>
      </c>
      <c r="O66" s="8">
        <f>IF($E66*'설정'!$C$5*IF(('설정'!$C$29*IF($A66&gt;=31,1+'설정'!$C$14*'설정'!$E$29,1)/$D66)&lt;1,('설정'!$C$29*IF($A66&gt;=31,1+'설정'!$C$14*'설정'!$E$29,1)/$D66)^(-'설정'!$C$6),('설정'!$C$29*IF($A66&gt;=31,1+'설정'!$C$14*'설정'!$E$29,1)/$D66)^(-'설정'!$C$7))&gt;('설정'!$C$4+'설정'!$F$29),"실패",ROUND($E66*'설정'!$C$5*IF(('설정'!$C$29*IF($A66&gt;=31,1+'설정'!$C$14*'설정'!$E$29,1)/$D66)&lt;1,('설정'!$C$29*IF($A66&gt;=31,1+'설정'!$C$14*'설정'!$E$29,1)/$D66)^(-'설정'!$C$6),('설정'!$C$29*IF($A66&gt;=31,1+'설정'!$C$14*'설정'!$E$29,1)/$D66)^(-'설정'!$C$7)),0))</f>
        <v/>
      </c>
      <c r="P66" s="8">
        <f>IF($E66*'설정'!$C$5*IF(('설정'!$C$30*IF($A66&gt;=31,1+'설정'!$C$14*'설정'!$E$30,1)/$D66)&lt;1,('설정'!$C$30*IF($A66&gt;=31,1+'설정'!$C$14*'설정'!$E$30,1)/$D66)^(-'설정'!$C$6),('설정'!$C$30*IF($A66&gt;=31,1+'설정'!$C$14*'설정'!$E$30,1)/$D66)^(-'설정'!$C$7))&gt;('설정'!$C$4+'설정'!$F$30),"실패",ROUND($E66*'설정'!$C$5*IF(('설정'!$C$30*IF($A66&gt;=31,1+'설정'!$C$14*'설정'!$E$30,1)/$D66)&lt;1,('설정'!$C$30*IF($A66&gt;=31,1+'설정'!$C$14*'설정'!$E$30,1)/$D66)^(-'설정'!$C$6),('설정'!$C$30*IF($A66&gt;=31,1+'설정'!$C$14*'설정'!$E$30,1)/$D66)^(-'설정'!$C$7)),0))</f>
        <v/>
      </c>
      <c r="Q66" s="8">
        <f>IF($E66*'설정'!$C$5*IF(('설정'!$C$31*IF($A66&gt;=31,1+'설정'!$C$14*'설정'!$E$31,1)/$D66)&lt;1,('설정'!$C$31*IF($A66&gt;=31,1+'설정'!$C$14*'설정'!$E$31,1)/$D66)^(-'설정'!$C$6),('설정'!$C$31*IF($A66&gt;=31,1+'설정'!$C$14*'설정'!$E$31,1)/$D66)^(-'설정'!$C$7))&gt;('설정'!$C$4+'설정'!$F$31),"실패",ROUND($E66*'설정'!$C$5*IF(('설정'!$C$31*IF($A66&gt;=31,1+'설정'!$C$14*'설정'!$E$31,1)/$D66)&lt;1,('설정'!$C$31*IF($A66&gt;=31,1+'설정'!$C$14*'설정'!$E$31,1)/$D66)^(-'설정'!$C$6),('설정'!$C$31*IF($A66&gt;=31,1+'설정'!$C$14*'설정'!$E$31,1)/$D66)^(-'설정'!$C$7)),0))</f>
        <v/>
      </c>
      <c r="R66" s="8">
        <f>IF($E66*'설정'!$C$5*IF(('설정'!$C$32*IF($A66&gt;=31,1+'설정'!$C$14*'설정'!$E$32,1)/$D66)&lt;1,('설정'!$C$32*IF($A66&gt;=31,1+'설정'!$C$14*'설정'!$E$32,1)/$D66)^(-'설정'!$C$6),('설정'!$C$32*IF($A66&gt;=31,1+'설정'!$C$14*'설정'!$E$32,1)/$D66)^(-'설정'!$C$7))&gt;('설정'!$C$4+'설정'!$F$32),"실패",ROUND($E66*'설정'!$C$5*IF(('설정'!$C$32*IF($A66&gt;=31,1+'설정'!$C$14*'설정'!$E$32,1)/$D66)&lt;1,('설정'!$C$32*IF($A66&gt;=31,1+'설정'!$C$14*'설정'!$E$32,1)/$D66)^(-'설정'!$C$6),('설정'!$C$32*IF($A66&gt;=31,1+'설정'!$C$14*'설정'!$E$32,1)/$D66)^(-'설정'!$C$7)),0))</f>
        <v/>
      </c>
      <c r="S66" s="8">
        <f>IF($E66*'설정'!$C$5*IF(('설정'!$C$33*IF($A66&gt;=31,1+'설정'!$C$14*'설정'!$E$33,1)/$D66)&lt;1,('설정'!$C$33*IF($A66&gt;=31,1+'설정'!$C$14*'설정'!$E$33,1)/$D66)^(-'설정'!$C$6),('설정'!$C$33*IF($A66&gt;=31,1+'설정'!$C$14*'설정'!$E$33,1)/$D66)^(-'설정'!$C$7))&gt;('설정'!$C$4+'설정'!$F$33),"실패",ROUND($E66*'설정'!$C$5*IF(('설정'!$C$33*IF($A66&gt;=31,1+'설정'!$C$14*'설정'!$E$33,1)/$D66)&lt;1,('설정'!$C$33*IF($A66&gt;=31,1+'설정'!$C$14*'설정'!$E$33,1)/$D66)^(-'설정'!$C$6),('설정'!$C$33*IF($A66&gt;=31,1+'설정'!$C$14*'설정'!$E$33,1)/$D66)^(-'설정'!$C$7)),0))</f>
        <v/>
      </c>
      <c r="T66" s="8">
        <f>IF($E66*'설정'!$C$5*IF(('설정'!$C$34*IF($A66&gt;=31,1+'설정'!$C$14*'설정'!$E$34,1)/$D66)&lt;1,('설정'!$C$34*IF($A66&gt;=31,1+'설정'!$C$14*'설정'!$E$34,1)/$D66)^(-'설정'!$C$6),('설정'!$C$34*IF($A66&gt;=31,1+'설정'!$C$14*'설정'!$E$34,1)/$D66)^(-'설정'!$C$7))&gt;('설정'!$C$4+'설정'!$F$34),"실패",ROUND($E66*'설정'!$C$5*IF(('설정'!$C$34*IF($A66&gt;=31,1+'설정'!$C$14*'설정'!$E$34,1)/$D66)&lt;1,('설정'!$C$34*IF($A66&gt;=31,1+'설정'!$C$14*'설정'!$E$34,1)/$D66)^(-'설정'!$C$6),('설정'!$C$34*IF($A66&gt;=31,1+'설정'!$C$14*'설정'!$E$34,1)/$D66)^(-'설정'!$C$7)),0))</f>
        <v/>
      </c>
      <c r="U66" s="8">
        <f>IF($E66*'설정'!$C$5*IF(('설정'!$C$35*IF($A66&gt;=31,1+'설정'!$C$14*'설정'!$E$35,1)/$D66)&lt;1,('설정'!$C$35*IF($A66&gt;=31,1+'설정'!$C$14*'설정'!$E$35,1)/$D66)^(-'설정'!$C$6),('설정'!$C$35*IF($A66&gt;=31,1+'설정'!$C$14*'설정'!$E$35,1)/$D66)^(-'설정'!$C$7))&gt;('설정'!$C$4+'설정'!$F$35),"실패",ROUND($E66*'설정'!$C$5*IF(('설정'!$C$35*IF($A66&gt;=31,1+'설정'!$C$14*'설정'!$E$35,1)/$D66)&lt;1,('설정'!$C$35*IF($A66&gt;=31,1+'설정'!$C$14*'설정'!$E$35,1)/$D66)^(-'설정'!$C$6),('설정'!$C$35*IF($A66&gt;=31,1+'설정'!$C$14*'설정'!$E$35,1)/$D66)^(-'설정'!$C$7)),0))</f>
        <v/>
      </c>
      <c r="V66" s="8">
        <f>IF($E66*'설정'!$C$5*IF(('설정'!$C$36*IF($A66&gt;=31,1+'설정'!$C$14*'설정'!$E$36,1)/$D66)&lt;1,('설정'!$C$36*IF($A66&gt;=31,1+'설정'!$C$14*'설정'!$E$36,1)/$D66)^(-'설정'!$C$6),('설정'!$C$36*IF($A66&gt;=31,1+'설정'!$C$14*'설정'!$E$36,1)/$D66)^(-'설정'!$C$7))&gt;('설정'!$C$4+'설정'!$F$36),"실패",ROUND($E66*'설정'!$C$5*IF(('설정'!$C$36*IF($A66&gt;=31,1+'설정'!$C$14*'설정'!$E$36,1)/$D66)&lt;1,('설정'!$C$36*IF($A66&gt;=31,1+'설정'!$C$14*'설정'!$E$36,1)/$D66)^(-'설정'!$C$6),('설정'!$C$36*IF($A66&gt;=31,1+'설정'!$C$14*'설정'!$E$36,1)/$D66)^(-'설정'!$C$7)),0))</f>
        <v/>
      </c>
      <c r="W66" s="8">
        <f>IF($E66*'설정'!$C$5*IF(('설정'!$C$37*IF($A66&gt;=31,1+'설정'!$C$14*'설정'!$E$37,1)/$D66)&lt;1,('설정'!$C$37*IF($A66&gt;=31,1+'설정'!$C$14*'설정'!$E$37,1)/$D66)^(-'설정'!$C$6),('설정'!$C$37*IF($A66&gt;=31,1+'설정'!$C$14*'설정'!$E$37,1)/$D66)^(-'설정'!$C$7))&gt;('설정'!$C$4+'설정'!$F$37),"실패",ROUND($E66*'설정'!$C$5*IF(('설정'!$C$37*IF($A66&gt;=31,1+'설정'!$C$14*'설정'!$E$37,1)/$D66)&lt;1,('설정'!$C$37*IF($A66&gt;=31,1+'설정'!$C$14*'설정'!$E$37,1)/$D66)^(-'설정'!$C$6),('설정'!$C$37*IF($A66&gt;=31,1+'설정'!$C$14*'설정'!$E$37,1)/$D66)^(-'설정'!$C$7)),0))</f>
        <v/>
      </c>
    </row>
    <row r="67">
      <c r="A67" t="n">
        <v>65</v>
      </c>
      <c r="B67" t="inlineStr">
        <is>
          <t>어려움</t>
        </is>
      </c>
      <c r="C67" t="inlineStr">
        <is>
          <t>보스</t>
        </is>
      </c>
      <c r="D67" s="6" t="n">
        <v>8040000</v>
      </c>
      <c r="E67" t="n">
        <v>90</v>
      </c>
      <c r="F67" s="6" t="n">
        <v>161000</v>
      </c>
      <c r="G67" t="n">
        <v>61</v>
      </c>
      <c r="H67" s="8">
        <f>IF($E67*'설정'!$C$5*IF(('설정'!$C$22*IF($A67&gt;=31,1+'설정'!$C$14*'설정'!$E$22,1)/$D67)&lt;1,('설정'!$C$22*IF($A67&gt;=31,1+'설정'!$C$14*'설정'!$E$22,1)/$D67)^(-'설정'!$C$6),('설정'!$C$22*IF($A67&gt;=31,1+'설정'!$C$14*'설정'!$E$22,1)/$D67)^(-'설정'!$C$7))&gt;('설정'!$C$4+'설정'!$F$22+'설정'!$G$22),"실패",ROUND($E67*'설정'!$C$5*IF(('설정'!$C$22*IF($A67&gt;=31,1+'설정'!$C$14*'설정'!$E$22,1)/$D67)&lt;1,('설정'!$C$22*IF($A67&gt;=31,1+'설정'!$C$14*'설정'!$E$22,1)/$D67)^(-'설정'!$C$6),('설정'!$C$22*IF($A67&gt;=31,1+'설정'!$C$14*'설정'!$E$22,1)/$D67)^(-'설정'!$C$7)),0))</f>
        <v/>
      </c>
      <c r="I67" s="8">
        <f>IF($E67*'설정'!$C$5*IF(('설정'!$C$23*IF($A67&gt;=31,1+'설정'!$C$14*'설정'!$E$23,1)/$D67)&lt;1,('설정'!$C$23*IF($A67&gt;=31,1+'설정'!$C$14*'설정'!$E$23,1)/$D67)^(-'설정'!$C$6),('설정'!$C$23*IF($A67&gt;=31,1+'설정'!$C$14*'설정'!$E$23,1)/$D67)^(-'설정'!$C$7))&gt;('설정'!$C$4+'설정'!$F$23+'설정'!$G$23),"실패",ROUND($E67*'설정'!$C$5*IF(('설정'!$C$23*IF($A67&gt;=31,1+'설정'!$C$14*'설정'!$E$23,1)/$D67)&lt;1,('설정'!$C$23*IF($A67&gt;=31,1+'설정'!$C$14*'설정'!$E$23,1)/$D67)^(-'설정'!$C$6),('설정'!$C$23*IF($A67&gt;=31,1+'설정'!$C$14*'설정'!$E$23,1)/$D67)^(-'설정'!$C$7)),0))</f>
        <v/>
      </c>
      <c r="J67" s="8">
        <f>IF($E67*'설정'!$C$5*IF(('설정'!$C$24*IF($A67&gt;=31,1+'설정'!$C$14*'설정'!$E$24,1)/$D67)&lt;1,('설정'!$C$24*IF($A67&gt;=31,1+'설정'!$C$14*'설정'!$E$24,1)/$D67)^(-'설정'!$C$6),('설정'!$C$24*IF($A67&gt;=31,1+'설정'!$C$14*'설정'!$E$24,1)/$D67)^(-'설정'!$C$7))&gt;('설정'!$C$4+'설정'!$F$24+'설정'!$G$24),"실패",ROUND($E67*'설정'!$C$5*IF(('설정'!$C$24*IF($A67&gt;=31,1+'설정'!$C$14*'설정'!$E$24,1)/$D67)&lt;1,('설정'!$C$24*IF($A67&gt;=31,1+'설정'!$C$14*'설정'!$E$24,1)/$D67)^(-'설정'!$C$6),('설정'!$C$24*IF($A67&gt;=31,1+'설정'!$C$14*'설정'!$E$24,1)/$D67)^(-'설정'!$C$7)),0))</f>
        <v/>
      </c>
      <c r="K67" s="8">
        <f>IF($E67*'설정'!$C$5*IF(('설정'!$C$25*IF($A67&gt;=31,1+'설정'!$C$14*'설정'!$E$25,1)/$D67)&lt;1,('설정'!$C$25*IF($A67&gt;=31,1+'설정'!$C$14*'설정'!$E$25,1)/$D67)^(-'설정'!$C$6),('설정'!$C$25*IF($A67&gt;=31,1+'설정'!$C$14*'설정'!$E$25,1)/$D67)^(-'설정'!$C$7))&gt;('설정'!$C$4+'설정'!$F$25+'설정'!$G$25),"실패",ROUND($E67*'설정'!$C$5*IF(('설정'!$C$25*IF($A67&gt;=31,1+'설정'!$C$14*'설정'!$E$25,1)/$D67)&lt;1,('설정'!$C$25*IF($A67&gt;=31,1+'설정'!$C$14*'설정'!$E$25,1)/$D67)^(-'설정'!$C$6),('설정'!$C$25*IF($A67&gt;=31,1+'설정'!$C$14*'설정'!$E$25,1)/$D67)^(-'설정'!$C$7)),0))</f>
        <v/>
      </c>
      <c r="L67" s="8">
        <f>IF($E67*'설정'!$C$5*IF(('설정'!$C$26*IF($A67&gt;=31,1+'설정'!$C$14*'설정'!$E$26,1)/$D67)&lt;1,('설정'!$C$26*IF($A67&gt;=31,1+'설정'!$C$14*'설정'!$E$26,1)/$D67)^(-'설정'!$C$6),('설정'!$C$26*IF($A67&gt;=31,1+'설정'!$C$14*'설정'!$E$26,1)/$D67)^(-'설정'!$C$7))&gt;('설정'!$C$4+'설정'!$F$26+'설정'!$G$26),"실패",ROUND($E67*'설정'!$C$5*IF(('설정'!$C$26*IF($A67&gt;=31,1+'설정'!$C$14*'설정'!$E$26,1)/$D67)&lt;1,('설정'!$C$26*IF($A67&gt;=31,1+'설정'!$C$14*'설정'!$E$26,1)/$D67)^(-'설정'!$C$6),('설정'!$C$26*IF($A67&gt;=31,1+'설정'!$C$14*'설정'!$E$26,1)/$D67)^(-'설정'!$C$7)),0))</f>
        <v/>
      </c>
      <c r="M67" s="8">
        <f>IF($E67*'설정'!$C$5*IF(('설정'!$C$27*IF($A67&gt;=31,1+'설정'!$C$14*'설정'!$E$27,1)/$D67)&lt;1,('설정'!$C$27*IF($A67&gt;=31,1+'설정'!$C$14*'설정'!$E$27,1)/$D67)^(-'설정'!$C$6),('설정'!$C$27*IF($A67&gt;=31,1+'설정'!$C$14*'설정'!$E$27,1)/$D67)^(-'설정'!$C$7))&gt;('설정'!$C$4+'설정'!$F$27+'설정'!$G$27),"실패",ROUND($E67*'설정'!$C$5*IF(('설정'!$C$27*IF($A67&gt;=31,1+'설정'!$C$14*'설정'!$E$27,1)/$D67)&lt;1,('설정'!$C$27*IF($A67&gt;=31,1+'설정'!$C$14*'설정'!$E$27,1)/$D67)^(-'설정'!$C$6),('설정'!$C$27*IF($A67&gt;=31,1+'설정'!$C$14*'설정'!$E$27,1)/$D67)^(-'설정'!$C$7)),0))</f>
        <v/>
      </c>
      <c r="N67" s="8">
        <f>IF($E67*'설정'!$C$5*IF(('설정'!$C$28*IF($A67&gt;=31,1+'설정'!$C$14*'설정'!$E$28,1)/$D67)&lt;1,('설정'!$C$28*IF($A67&gt;=31,1+'설정'!$C$14*'설정'!$E$28,1)/$D67)^(-'설정'!$C$6),('설정'!$C$28*IF($A67&gt;=31,1+'설정'!$C$14*'설정'!$E$28,1)/$D67)^(-'설정'!$C$7))&gt;('설정'!$C$4+'설정'!$F$28+'설정'!$G$28),"실패",ROUND($E67*'설정'!$C$5*IF(('설정'!$C$28*IF($A67&gt;=31,1+'설정'!$C$14*'설정'!$E$28,1)/$D67)&lt;1,('설정'!$C$28*IF($A67&gt;=31,1+'설정'!$C$14*'설정'!$E$28,1)/$D67)^(-'설정'!$C$6),('설정'!$C$28*IF($A67&gt;=31,1+'설정'!$C$14*'설정'!$E$28,1)/$D67)^(-'설정'!$C$7)),0))</f>
        <v/>
      </c>
      <c r="O67" s="8">
        <f>IF($E67*'설정'!$C$5*IF(('설정'!$C$29*IF($A67&gt;=31,1+'설정'!$C$14*'설정'!$E$29,1)/$D67)&lt;1,('설정'!$C$29*IF($A67&gt;=31,1+'설정'!$C$14*'설정'!$E$29,1)/$D67)^(-'설정'!$C$6),('설정'!$C$29*IF($A67&gt;=31,1+'설정'!$C$14*'설정'!$E$29,1)/$D67)^(-'설정'!$C$7))&gt;('설정'!$C$4+'설정'!$F$29+'설정'!$G$29),"실패",ROUND($E67*'설정'!$C$5*IF(('설정'!$C$29*IF($A67&gt;=31,1+'설정'!$C$14*'설정'!$E$29,1)/$D67)&lt;1,('설정'!$C$29*IF($A67&gt;=31,1+'설정'!$C$14*'설정'!$E$29,1)/$D67)^(-'설정'!$C$6),('설정'!$C$29*IF($A67&gt;=31,1+'설정'!$C$14*'설정'!$E$29,1)/$D67)^(-'설정'!$C$7)),0))</f>
        <v/>
      </c>
      <c r="P67" s="8">
        <f>IF($E67*'설정'!$C$5*IF(('설정'!$C$30*IF($A67&gt;=31,1+'설정'!$C$14*'설정'!$E$30,1)/$D67)&lt;1,('설정'!$C$30*IF($A67&gt;=31,1+'설정'!$C$14*'설정'!$E$30,1)/$D67)^(-'설정'!$C$6),('설정'!$C$30*IF($A67&gt;=31,1+'설정'!$C$14*'설정'!$E$30,1)/$D67)^(-'설정'!$C$7))&gt;('설정'!$C$4+'설정'!$F$30+'설정'!$G$30),"실패",ROUND($E67*'설정'!$C$5*IF(('설정'!$C$30*IF($A67&gt;=31,1+'설정'!$C$14*'설정'!$E$30,1)/$D67)&lt;1,('설정'!$C$30*IF($A67&gt;=31,1+'설정'!$C$14*'설정'!$E$30,1)/$D67)^(-'설정'!$C$6),('설정'!$C$30*IF($A67&gt;=31,1+'설정'!$C$14*'설정'!$E$30,1)/$D67)^(-'설정'!$C$7)),0))</f>
        <v/>
      </c>
      <c r="Q67" s="8">
        <f>IF($E67*'설정'!$C$5*IF(('설정'!$C$31*IF($A67&gt;=31,1+'설정'!$C$14*'설정'!$E$31,1)/$D67)&lt;1,('설정'!$C$31*IF($A67&gt;=31,1+'설정'!$C$14*'설정'!$E$31,1)/$D67)^(-'설정'!$C$6),('설정'!$C$31*IF($A67&gt;=31,1+'설정'!$C$14*'설정'!$E$31,1)/$D67)^(-'설정'!$C$7))&gt;('설정'!$C$4+'설정'!$F$31+'설정'!$G$31),"실패",ROUND($E67*'설정'!$C$5*IF(('설정'!$C$31*IF($A67&gt;=31,1+'설정'!$C$14*'설정'!$E$31,1)/$D67)&lt;1,('설정'!$C$31*IF($A67&gt;=31,1+'설정'!$C$14*'설정'!$E$31,1)/$D67)^(-'설정'!$C$6),('설정'!$C$31*IF($A67&gt;=31,1+'설정'!$C$14*'설정'!$E$31,1)/$D67)^(-'설정'!$C$7)),0))</f>
        <v/>
      </c>
      <c r="R67" s="8">
        <f>IF($E67*'설정'!$C$5*IF(('설정'!$C$32*IF($A67&gt;=31,1+'설정'!$C$14*'설정'!$E$32,1)/$D67)&lt;1,('설정'!$C$32*IF($A67&gt;=31,1+'설정'!$C$14*'설정'!$E$32,1)/$D67)^(-'설정'!$C$6),('설정'!$C$32*IF($A67&gt;=31,1+'설정'!$C$14*'설정'!$E$32,1)/$D67)^(-'설정'!$C$7))&gt;('설정'!$C$4+'설정'!$F$32+'설정'!$G$32),"실패",ROUND($E67*'설정'!$C$5*IF(('설정'!$C$32*IF($A67&gt;=31,1+'설정'!$C$14*'설정'!$E$32,1)/$D67)&lt;1,('설정'!$C$32*IF($A67&gt;=31,1+'설정'!$C$14*'설정'!$E$32,1)/$D67)^(-'설정'!$C$6),('설정'!$C$32*IF($A67&gt;=31,1+'설정'!$C$14*'설정'!$E$32,1)/$D67)^(-'설정'!$C$7)),0))</f>
        <v/>
      </c>
      <c r="S67" s="8">
        <f>IF($E67*'설정'!$C$5*IF(('설정'!$C$33*IF($A67&gt;=31,1+'설정'!$C$14*'설정'!$E$33,1)/$D67)&lt;1,('설정'!$C$33*IF($A67&gt;=31,1+'설정'!$C$14*'설정'!$E$33,1)/$D67)^(-'설정'!$C$6),('설정'!$C$33*IF($A67&gt;=31,1+'설정'!$C$14*'설정'!$E$33,1)/$D67)^(-'설정'!$C$7))&gt;('설정'!$C$4+'설정'!$F$33+'설정'!$G$33),"실패",ROUND($E67*'설정'!$C$5*IF(('설정'!$C$33*IF($A67&gt;=31,1+'설정'!$C$14*'설정'!$E$33,1)/$D67)&lt;1,('설정'!$C$33*IF($A67&gt;=31,1+'설정'!$C$14*'설정'!$E$33,1)/$D67)^(-'설정'!$C$6),('설정'!$C$33*IF($A67&gt;=31,1+'설정'!$C$14*'설정'!$E$33,1)/$D67)^(-'설정'!$C$7)),0))</f>
        <v/>
      </c>
      <c r="T67" s="8">
        <f>IF($E67*'설정'!$C$5*IF(('설정'!$C$34*IF($A67&gt;=31,1+'설정'!$C$14*'설정'!$E$34,1)/$D67)&lt;1,('설정'!$C$34*IF($A67&gt;=31,1+'설정'!$C$14*'설정'!$E$34,1)/$D67)^(-'설정'!$C$6),('설정'!$C$34*IF($A67&gt;=31,1+'설정'!$C$14*'설정'!$E$34,1)/$D67)^(-'설정'!$C$7))&gt;('설정'!$C$4+'설정'!$F$34+'설정'!$G$34),"실패",ROUND($E67*'설정'!$C$5*IF(('설정'!$C$34*IF($A67&gt;=31,1+'설정'!$C$14*'설정'!$E$34,1)/$D67)&lt;1,('설정'!$C$34*IF($A67&gt;=31,1+'설정'!$C$14*'설정'!$E$34,1)/$D67)^(-'설정'!$C$6),('설정'!$C$34*IF($A67&gt;=31,1+'설정'!$C$14*'설정'!$E$34,1)/$D67)^(-'설정'!$C$7)),0))</f>
        <v/>
      </c>
      <c r="U67" s="8">
        <f>IF($E67*'설정'!$C$5*IF(('설정'!$C$35*IF($A67&gt;=31,1+'설정'!$C$14*'설정'!$E$35,1)/$D67)&lt;1,('설정'!$C$35*IF($A67&gt;=31,1+'설정'!$C$14*'설정'!$E$35,1)/$D67)^(-'설정'!$C$6),('설정'!$C$35*IF($A67&gt;=31,1+'설정'!$C$14*'설정'!$E$35,1)/$D67)^(-'설정'!$C$7))&gt;('설정'!$C$4+'설정'!$F$35+'설정'!$G$35),"실패",ROUND($E67*'설정'!$C$5*IF(('설정'!$C$35*IF($A67&gt;=31,1+'설정'!$C$14*'설정'!$E$35,1)/$D67)&lt;1,('설정'!$C$35*IF($A67&gt;=31,1+'설정'!$C$14*'설정'!$E$35,1)/$D67)^(-'설정'!$C$6),('설정'!$C$35*IF($A67&gt;=31,1+'설정'!$C$14*'설정'!$E$35,1)/$D67)^(-'설정'!$C$7)),0))</f>
        <v/>
      </c>
      <c r="V67" s="8">
        <f>IF($E67*'설정'!$C$5*IF(('설정'!$C$36*IF($A67&gt;=31,1+'설정'!$C$14*'설정'!$E$36,1)/$D67)&lt;1,('설정'!$C$36*IF($A67&gt;=31,1+'설정'!$C$14*'설정'!$E$36,1)/$D67)^(-'설정'!$C$6),('설정'!$C$36*IF($A67&gt;=31,1+'설정'!$C$14*'설정'!$E$36,1)/$D67)^(-'설정'!$C$7))&gt;('설정'!$C$4+'설정'!$F$36+'설정'!$G$36),"실패",ROUND($E67*'설정'!$C$5*IF(('설정'!$C$36*IF($A67&gt;=31,1+'설정'!$C$14*'설정'!$E$36,1)/$D67)&lt;1,('설정'!$C$36*IF($A67&gt;=31,1+'설정'!$C$14*'설정'!$E$36,1)/$D67)^(-'설정'!$C$6),('설정'!$C$36*IF($A67&gt;=31,1+'설정'!$C$14*'설정'!$E$36,1)/$D67)^(-'설정'!$C$7)),0))</f>
        <v/>
      </c>
      <c r="W67" s="8">
        <f>IF($E67*'설정'!$C$5*IF(('설정'!$C$37*IF($A67&gt;=31,1+'설정'!$C$14*'설정'!$E$37,1)/$D67)&lt;1,('설정'!$C$37*IF($A67&gt;=31,1+'설정'!$C$14*'설정'!$E$37,1)/$D67)^(-'설정'!$C$6),('설정'!$C$37*IF($A67&gt;=31,1+'설정'!$C$14*'설정'!$E$37,1)/$D67)^(-'설정'!$C$7))&gt;('설정'!$C$4+'설정'!$F$37+'설정'!$G$37),"실패",ROUND($E67*'설정'!$C$5*IF(('설정'!$C$37*IF($A67&gt;=31,1+'설정'!$C$14*'설정'!$E$37,1)/$D67)&lt;1,('설정'!$C$37*IF($A67&gt;=31,1+'설정'!$C$14*'설정'!$E$37,1)/$D67)^(-'설정'!$C$6),('설정'!$C$37*IF($A67&gt;=31,1+'설정'!$C$14*'설정'!$E$37,1)/$D67)^(-'설정'!$C$7)),0))</f>
        <v/>
      </c>
    </row>
    <row r="68">
      <c r="A68" t="n">
        <v>66</v>
      </c>
      <c r="B68" t="inlineStr">
        <is>
          <t>보통</t>
        </is>
      </c>
      <c r="C68" t="inlineStr"/>
      <c r="D68" s="6" t="n">
        <v>7700000</v>
      </c>
      <c r="E68" t="n">
        <v>72</v>
      </c>
      <c r="F68" s="6" t="n">
        <v>154000</v>
      </c>
      <c r="G68" t="n">
        <v>62</v>
      </c>
      <c r="H68" s="8">
        <f>IF($E68*'설정'!$C$5*IF(('설정'!$C$22*IF($A68&gt;=31,1+'설정'!$C$14*'설정'!$E$22,1)/$D68)&lt;1,('설정'!$C$22*IF($A68&gt;=31,1+'설정'!$C$14*'설정'!$E$22,1)/$D68)^(-'설정'!$C$6),('설정'!$C$22*IF($A68&gt;=31,1+'설정'!$C$14*'설정'!$E$22,1)/$D68)^(-'설정'!$C$7))&gt;('설정'!$C$4+'설정'!$F$22),"실패",ROUND($E68*'설정'!$C$5*IF(('설정'!$C$22*IF($A68&gt;=31,1+'설정'!$C$14*'설정'!$E$22,1)/$D68)&lt;1,('설정'!$C$22*IF($A68&gt;=31,1+'설정'!$C$14*'설정'!$E$22,1)/$D68)^(-'설정'!$C$6),('설정'!$C$22*IF($A68&gt;=31,1+'설정'!$C$14*'설정'!$E$22,1)/$D68)^(-'설정'!$C$7)),0))</f>
        <v/>
      </c>
      <c r="I68" s="8">
        <f>IF($E68*'설정'!$C$5*IF(('설정'!$C$23*IF($A68&gt;=31,1+'설정'!$C$14*'설정'!$E$23,1)/$D68)&lt;1,('설정'!$C$23*IF($A68&gt;=31,1+'설정'!$C$14*'설정'!$E$23,1)/$D68)^(-'설정'!$C$6),('설정'!$C$23*IF($A68&gt;=31,1+'설정'!$C$14*'설정'!$E$23,1)/$D68)^(-'설정'!$C$7))&gt;('설정'!$C$4+'설정'!$F$23),"실패",ROUND($E68*'설정'!$C$5*IF(('설정'!$C$23*IF($A68&gt;=31,1+'설정'!$C$14*'설정'!$E$23,1)/$D68)&lt;1,('설정'!$C$23*IF($A68&gt;=31,1+'설정'!$C$14*'설정'!$E$23,1)/$D68)^(-'설정'!$C$6),('설정'!$C$23*IF($A68&gt;=31,1+'설정'!$C$14*'설정'!$E$23,1)/$D68)^(-'설정'!$C$7)),0))</f>
        <v/>
      </c>
      <c r="J68" s="8">
        <f>IF($E68*'설정'!$C$5*IF(('설정'!$C$24*IF($A68&gt;=31,1+'설정'!$C$14*'설정'!$E$24,1)/$D68)&lt;1,('설정'!$C$24*IF($A68&gt;=31,1+'설정'!$C$14*'설정'!$E$24,1)/$D68)^(-'설정'!$C$6),('설정'!$C$24*IF($A68&gt;=31,1+'설정'!$C$14*'설정'!$E$24,1)/$D68)^(-'설정'!$C$7))&gt;('설정'!$C$4+'설정'!$F$24),"실패",ROUND($E68*'설정'!$C$5*IF(('설정'!$C$24*IF($A68&gt;=31,1+'설정'!$C$14*'설정'!$E$24,1)/$D68)&lt;1,('설정'!$C$24*IF($A68&gt;=31,1+'설정'!$C$14*'설정'!$E$24,1)/$D68)^(-'설정'!$C$6),('설정'!$C$24*IF($A68&gt;=31,1+'설정'!$C$14*'설정'!$E$24,1)/$D68)^(-'설정'!$C$7)),0))</f>
        <v/>
      </c>
      <c r="K68" s="8">
        <f>IF($E68*'설정'!$C$5*IF(('설정'!$C$25*IF($A68&gt;=31,1+'설정'!$C$14*'설정'!$E$25,1)/$D68)&lt;1,('설정'!$C$25*IF($A68&gt;=31,1+'설정'!$C$14*'설정'!$E$25,1)/$D68)^(-'설정'!$C$6),('설정'!$C$25*IF($A68&gt;=31,1+'설정'!$C$14*'설정'!$E$25,1)/$D68)^(-'설정'!$C$7))&gt;('설정'!$C$4+'설정'!$F$25),"실패",ROUND($E68*'설정'!$C$5*IF(('설정'!$C$25*IF($A68&gt;=31,1+'설정'!$C$14*'설정'!$E$25,1)/$D68)&lt;1,('설정'!$C$25*IF($A68&gt;=31,1+'설정'!$C$14*'설정'!$E$25,1)/$D68)^(-'설정'!$C$6),('설정'!$C$25*IF($A68&gt;=31,1+'설정'!$C$14*'설정'!$E$25,1)/$D68)^(-'설정'!$C$7)),0))</f>
        <v/>
      </c>
      <c r="L68" s="8">
        <f>IF($E68*'설정'!$C$5*IF(('설정'!$C$26*IF($A68&gt;=31,1+'설정'!$C$14*'설정'!$E$26,1)/$D68)&lt;1,('설정'!$C$26*IF($A68&gt;=31,1+'설정'!$C$14*'설정'!$E$26,1)/$D68)^(-'설정'!$C$6),('설정'!$C$26*IF($A68&gt;=31,1+'설정'!$C$14*'설정'!$E$26,1)/$D68)^(-'설정'!$C$7))&gt;('설정'!$C$4+'설정'!$F$26),"실패",ROUND($E68*'설정'!$C$5*IF(('설정'!$C$26*IF($A68&gt;=31,1+'설정'!$C$14*'설정'!$E$26,1)/$D68)&lt;1,('설정'!$C$26*IF($A68&gt;=31,1+'설정'!$C$14*'설정'!$E$26,1)/$D68)^(-'설정'!$C$6),('설정'!$C$26*IF($A68&gt;=31,1+'설정'!$C$14*'설정'!$E$26,1)/$D68)^(-'설정'!$C$7)),0))</f>
        <v/>
      </c>
      <c r="M68" s="8">
        <f>IF($E68*'설정'!$C$5*IF(('설정'!$C$27*IF($A68&gt;=31,1+'설정'!$C$14*'설정'!$E$27,1)/$D68)&lt;1,('설정'!$C$27*IF($A68&gt;=31,1+'설정'!$C$14*'설정'!$E$27,1)/$D68)^(-'설정'!$C$6),('설정'!$C$27*IF($A68&gt;=31,1+'설정'!$C$14*'설정'!$E$27,1)/$D68)^(-'설정'!$C$7))&gt;('설정'!$C$4+'설정'!$F$27),"실패",ROUND($E68*'설정'!$C$5*IF(('설정'!$C$27*IF($A68&gt;=31,1+'설정'!$C$14*'설정'!$E$27,1)/$D68)&lt;1,('설정'!$C$27*IF($A68&gt;=31,1+'설정'!$C$14*'설정'!$E$27,1)/$D68)^(-'설정'!$C$6),('설정'!$C$27*IF($A68&gt;=31,1+'설정'!$C$14*'설정'!$E$27,1)/$D68)^(-'설정'!$C$7)),0))</f>
        <v/>
      </c>
      <c r="N68" s="8">
        <f>IF($E68*'설정'!$C$5*IF(('설정'!$C$28*IF($A68&gt;=31,1+'설정'!$C$14*'설정'!$E$28,1)/$D68)&lt;1,('설정'!$C$28*IF($A68&gt;=31,1+'설정'!$C$14*'설정'!$E$28,1)/$D68)^(-'설정'!$C$6),('설정'!$C$28*IF($A68&gt;=31,1+'설정'!$C$14*'설정'!$E$28,1)/$D68)^(-'설정'!$C$7))&gt;('설정'!$C$4+'설정'!$F$28),"실패",ROUND($E68*'설정'!$C$5*IF(('설정'!$C$28*IF($A68&gt;=31,1+'설정'!$C$14*'설정'!$E$28,1)/$D68)&lt;1,('설정'!$C$28*IF($A68&gt;=31,1+'설정'!$C$14*'설정'!$E$28,1)/$D68)^(-'설정'!$C$6),('설정'!$C$28*IF($A68&gt;=31,1+'설정'!$C$14*'설정'!$E$28,1)/$D68)^(-'설정'!$C$7)),0))</f>
        <v/>
      </c>
      <c r="O68" s="8">
        <f>IF($E68*'설정'!$C$5*IF(('설정'!$C$29*IF($A68&gt;=31,1+'설정'!$C$14*'설정'!$E$29,1)/$D68)&lt;1,('설정'!$C$29*IF($A68&gt;=31,1+'설정'!$C$14*'설정'!$E$29,1)/$D68)^(-'설정'!$C$6),('설정'!$C$29*IF($A68&gt;=31,1+'설정'!$C$14*'설정'!$E$29,1)/$D68)^(-'설정'!$C$7))&gt;('설정'!$C$4+'설정'!$F$29),"실패",ROUND($E68*'설정'!$C$5*IF(('설정'!$C$29*IF($A68&gt;=31,1+'설정'!$C$14*'설정'!$E$29,1)/$D68)&lt;1,('설정'!$C$29*IF($A68&gt;=31,1+'설정'!$C$14*'설정'!$E$29,1)/$D68)^(-'설정'!$C$6),('설정'!$C$29*IF($A68&gt;=31,1+'설정'!$C$14*'설정'!$E$29,1)/$D68)^(-'설정'!$C$7)),0))</f>
        <v/>
      </c>
      <c r="P68" s="8">
        <f>IF($E68*'설정'!$C$5*IF(('설정'!$C$30*IF($A68&gt;=31,1+'설정'!$C$14*'설정'!$E$30,1)/$D68)&lt;1,('설정'!$C$30*IF($A68&gt;=31,1+'설정'!$C$14*'설정'!$E$30,1)/$D68)^(-'설정'!$C$6),('설정'!$C$30*IF($A68&gt;=31,1+'설정'!$C$14*'설정'!$E$30,1)/$D68)^(-'설정'!$C$7))&gt;('설정'!$C$4+'설정'!$F$30),"실패",ROUND($E68*'설정'!$C$5*IF(('설정'!$C$30*IF($A68&gt;=31,1+'설정'!$C$14*'설정'!$E$30,1)/$D68)&lt;1,('설정'!$C$30*IF($A68&gt;=31,1+'설정'!$C$14*'설정'!$E$30,1)/$D68)^(-'설정'!$C$6),('설정'!$C$30*IF($A68&gt;=31,1+'설정'!$C$14*'설정'!$E$30,1)/$D68)^(-'설정'!$C$7)),0))</f>
        <v/>
      </c>
      <c r="Q68" s="8">
        <f>IF($E68*'설정'!$C$5*IF(('설정'!$C$31*IF($A68&gt;=31,1+'설정'!$C$14*'설정'!$E$31,1)/$D68)&lt;1,('설정'!$C$31*IF($A68&gt;=31,1+'설정'!$C$14*'설정'!$E$31,1)/$D68)^(-'설정'!$C$6),('설정'!$C$31*IF($A68&gt;=31,1+'설정'!$C$14*'설정'!$E$31,1)/$D68)^(-'설정'!$C$7))&gt;('설정'!$C$4+'설정'!$F$31),"실패",ROUND($E68*'설정'!$C$5*IF(('설정'!$C$31*IF($A68&gt;=31,1+'설정'!$C$14*'설정'!$E$31,1)/$D68)&lt;1,('설정'!$C$31*IF($A68&gt;=31,1+'설정'!$C$14*'설정'!$E$31,1)/$D68)^(-'설정'!$C$6),('설정'!$C$31*IF($A68&gt;=31,1+'설정'!$C$14*'설정'!$E$31,1)/$D68)^(-'설정'!$C$7)),0))</f>
        <v/>
      </c>
      <c r="R68" s="8">
        <f>IF($E68*'설정'!$C$5*IF(('설정'!$C$32*IF($A68&gt;=31,1+'설정'!$C$14*'설정'!$E$32,1)/$D68)&lt;1,('설정'!$C$32*IF($A68&gt;=31,1+'설정'!$C$14*'설정'!$E$32,1)/$D68)^(-'설정'!$C$6),('설정'!$C$32*IF($A68&gt;=31,1+'설정'!$C$14*'설정'!$E$32,1)/$D68)^(-'설정'!$C$7))&gt;('설정'!$C$4+'설정'!$F$32),"실패",ROUND($E68*'설정'!$C$5*IF(('설정'!$C$32*IF($A68&gt;=31,1+'설정'!$C$14*'설정'!$E$32,1)/$D68)&lt;1,('설정'!$C$32*IF($A68&gt;=31,1+'설정'!$C$14*'설정'!$E$32,1)/$D68)^(-'설정'!$C$6),('설정'!$C$32*IF($A68&gt;=31,1+'설정'!$C$14*'설정'!$E$32,1)/$D68)^(-'설정'!$C$7)),0))</f>
        <v/>
      </c>
      <c r="S68" s="8">
        <f>IF($E68*'설정'!$C$5*IF(('설정'!$C$33*IF($A68&gt;=31,1+'설정'!$C$14*'설정'!$E$33,1)/$D68)&lt;1,('설정'!$C$33*IF($A68&gt;=31,1+'설정'!$C$14*'설정'!$E$33,1)/$D68)^(-'설정'!$C$6),('설정'!$C$33*IF($A68&gt;=31,1+'설정'!$C$14*'설정'!$E$33,1)/$D68)^(-'설정'!$C$7))&gt;('설정'!$C$4+'설정'!$F$33),"실패",ROUND($E68*'설정'!$C$5*IF(('설정'!$C$33*IF($A68&gt;=31,1+'설정'!$C$14*'설정'!$E$33,1)/$D68)&lt;1,('설정'!$C$33*IF($A68&gt;=31,1+'설정'!$C$14*'설정'!$E$33,1)/$D68)^(-'설정'!$C$6),('설정'!$C$33*IF($A68&gt;=31,1+'설정'!$C$14*'설정'!$E$33,1)/$D68)^(-'설정'!$C$7)),0))</f>
        <v/>
      </c>
      <c r="T68" s="8">
        <f>IF($E68*'설정'!$C$5*IF(('설정'!$C$34*IF($A68&gt;=31,1+'설정'!$C$14*'설정'!$E$34,1)/$D68)&lt;1,('설정'!$C$34*IF($A68&gt;=31,1+'설정'!$C$14*'설정'!$E$34,1)/$D68)^(-'설정'!$C$6),('설정'!$C$34*IF($A68&gt;=31,1+'설정'!$C$14*'설정'!$E$34,1)/$D68)^(-'설정'!$C$7))&gt;('설정'!$C$4+'설정'!$F$34),"실패",ROUND($E68*'설정'!$C$5*IF(('설정'!$C$34*IF($A68&gt;=31,1+'설정'!$C$14*'설정'!$E$34,1)/$D68)&lt;1,('설정'!$C$34*IF($A68&gt;=31,1+'설정'!$C$14*'설정'!$E$34,1)/$D68)^(-'설정'!$C$6),('설정'!$C$34*IF($A68&gt;=31,1+'설정'!$C$14*'설정'!$E$34,1)/$D68)^(-'설정'!$C$7)),0))</f>
        <v/>
      </c>
      <c r="U68" s="8">
        <f>IF($E68*'설정'!$C$5*IF(('설정'!$C$35*IF($A68&gt;=31,1+'설정'!$C$14*'설정'!$E$35,1)/$D68)&lt;1,('설정'!$C$35*IF($A68&gt;=31,1+'설정'!$C$14*'설정'!$E$35,1)/$D68)^(-'설정'!$C$6),('설정'!$C$35*IF($A68&gt;=31,1+'설정'!$C$14*'설정'!$E$35,1)/$D68)^(-'설정'!$C$7))&gt;('설정'!$C$4+'설정'!$F$35),"실패",ROUND($E68*'설정'!$C$5*IF(('설정'!$C$35*IF($A68&gt;=31,1+'설정'!$C$14*'설정'!$E$35,1)/$D68)&lt;1,('설정'!$C$35*IF($A68&gt;=31,1+'설정'!$C$14*'설정'!$E$35,1)/$D68)^(-'설정'!$C$6),('설정'!$C$35*IF($A68&gt;=31,1+'설정'!$C$14*'설정'!$E$35,1)/$D68)^(-'설정'!$C$7)),0))</f>
        <v/>
      </c>
      <c r="V68" s="8">
        <f>IF($E68*'설정'!$C$5*IF(('설정'!$C$36*IF($A68&gt;=31,1+'설정'!$C$14*'설정'!$E$36,1)/$D68)&lt;1,('설정'!$C$36*IF($A68&gt;=31,1+'설정'!$C$14*'설정'!$E$36,1)/$D68)^(-'설정'!$C$6),('설정'!$C$36*IF($A68&gt;=31,1+'설정'!$C$14*'설정'!$E$36,1)/$D68)^(-'설정'!$C$7))&gt;('설정'!$C$4+'설정'!$F$36),"실패",ROUND($E68*'설정'!$C$5*IF(('설정'!$C$36*IF($A68&gt;=31,1+'설정'!$C$14*'설정'!$E$36,1)/$D68)&lt;1,('설정'!$C$36*IF($A68&gt;=31,1+'설정'!$C$14*'설정'!$E$36,1)/$D68)^(-'설정'!$C$6),('설정'!$C$36*IF($A68&gt;=31,1+'설정'!$C$14*'설정'!$E$36,1)/$D68)^(-'설정'!$C$7)),0))</f>
        <v/>
      </c>
      <c r="W68" s="8">
        <f>IF($E68*'설정'!$C$5*IF(('설정'!$C$37*IF($A68&gt;=31,1+'설정'!$C$14*'설정'!$E$37,1)/$D68)&lt;1,('설정'!$C$37*IF($A68&gt;=31,1+'설정'!$C$14*'설정'!$E$37,1)/$D68)^(-'설정'!$C$6),('설정'!$C$37*IF($A68&gt;=31,1+'설정'!$C$14*'설정'!$E$37,1)/$D68)^(-'설정'!$C$7))&gt;('설정'!$C$4+'설정'!$F$37),"실패",ROUND($E68*'설정'!$C$5*IF(('설정'!$C$37*IF($A68&gt;=31,1+'설정'!$C$14*'설정'!$E$37,1)/$D68)&lt;1,('설정'!$C$37*IF($A68&gt;=31,1+'설정'!$C$14*'설정'!$E$37,1)/$D68)^(-'설정'!$C$6),('설정'!$C$37*IF($A68&gt;=31,1+'설정'!$C$14*'설정'!$E$37,1)/$D68)^(-'설정'!$C$7)),0))</f>
        <v/>
      </c>
    </row>
    <row r="69">
      <c r="A69" t="n">
        <v>67</v>
      </c>
      <c r="B69" t="inlineStr">
        <is>
          <t>보통</t>
        </is>
      </c>
      <c r="C69" t="inlineStr"/>
      <c r="D69" s="6" t="n">
        <v>8470000</v>
      </c>
      <c r="E69" t="n">
        <v>72</v>
      </c>
      <c r="F69" s="6" t="n">
        <v>169000</v>
      </c>
      <c r="G69" t="n">
        <v>63</v>
      </c>
      <c r="H69" s="8">
        <f>IF($E69*'설정'!$C$5*IF(('설정'!$C$22*IF($A69&gt;=31,1+'설정'!$C$14*'설정'!$E$22,1)/$D69)&lt;1,('설정'!$C$22*IF($A69&gt;=31,1+'설정'!$C$14*'설정'!$E$22,1)/$D69)^(-'설정'!$C$6),('설정'!$C$22*IF($A69&gt;=31,1+'설정'!$C$14*'설정'!$E$22,1)/$D69)^(-'설정'!$C$7))&gt;('설정'!$C$4+'설정'!$F$22),"실패",ROUND($E69*'설정'!$C$5*IF(('설정'!$C$22*IF($A69&gt;=31,1+'설정'!$C$14*'설정'!$E$22,1)/$D69)&lt;1,('설정'!$C$22*IF($A69&gt;=31,1+'설정'!$C$14*'설정'!$E$22,1)/$D69)^(-'설정'!$C$6),('설정'!$C$22*IF($A69&gt;=31,1+'설정'!$C$14*'설정'!$E$22,1)/$D69)^(-'설정'!$C$7)),0))</f>
        <v/>
      </c>
      <c r="I69" s="8">
        <f>IF($E69*'설정'!$C$5*IF(('설정'!$C$23*IF($A69&gt;=31,1+'설정'!$C$14*'설정'!$E$23,1)/$D69)&lt;1,('설정'!$C$23*IF($A69&gt;=31,1+'설정'!$C$14*'설정'!$E$23,1)/$D69)^(-'설정'!$C$6),('설정'!$C$23*IF($A69&gt;=31,1+'설정'!$C$14*'설정'!$E$23,1)/$D69)^(-'설정'!$C$7))&gt;('설정'!$C$4+'설정'!$F$23),"실패",ROUND($E69*'설정'!$C$5*IF(('설정'!$C$23*IF($A69&gt;=31,1+'설정'!$C$14*'설정'!$E$23,1)/$D69)&lt;1,('설정'!$C$23*IF($A69&gt;=31,1+'설정'!$C$14*'설정'!$E$23,1)/$D69)^(-'설정'!$C$6),('설정'!$C$23*IF($A69&gt;=31,1+'설정'!$C$14*'설정'!$E$23,1)/$D69)^(-'설정'!$C$7)),0))</f>
        <v/>
      </c>
      <c r="J69" s="8">
        <f>IF($E69*'설정'!$C$5*IF(('설정'!$C$24*IF($A69&gt;=31,1+'설정'!$C$14*'설정'!$E$24,1)/$D69)&lt;1,('설정'!$C$24*IF($A69&gt;=31,1+'설정'!$C$14*'설정'!$E$24,1)/$D69)^(-'설정'!$C$6),('설정'!$C$24*IF($A69&gt;=31,1+'설정'!$C$14*'설정'!$E$24,1)/$D69)^(-'설정'!$C$7))&gt;('설정'!$C$4+'설정'!$F$24),"실패",ROUND($E69*'설정'!$C$5*IF(('설정'!$C$24*IF($A69&gt;=31,1+'설정'!$C$14*'설정'!$E$24,1)/$D69)&lt;1,('설정'!$C$24*IF($A69&gt;=31,1+'설정'!$C$14*'설정'!$E$24,1)/$D69)^(-'설정'!$C$6),('설정'!$C$24*IF($A69&gt;=31,1+'설정'!$C$14*'설정'!$E$24,1)/$D69)^(-'설정'!$C$7)),0))</f>
        <v/>
      </c>
      <c r="K69" s="8">
        <f>IF($E69*'설정'!$C$5*IF(('설정'!$C$25*IF($A69&gt;=31,1+'설정'!$C$14*'설정'!$E$25,1)/$D69)&lt;1,('설정'!$C$25*IF($A69&gt;=31,1+'설정'!$C$14*'설정'!$E$25,1)/$D69)^(-'설정'!$C$6),('설정'!$C$25*IF($A69&gt;=31,1+'설정'!$C$14*'설정'!$E$25,1)/$D69)^(-'설정'!$C$7))&gt;('설정'!$C$4+'설정'!$F$25),"실패",ROUND($E69*'설정'!$C$5*IF(('설정'!$C$25*IF($A69&gt;=31,1+'설정'!$C$14*'설정'!$E$25,1)/$D69)&lt;1,('설정'!$C$25*IF($A69&gt;=31,1+'설정'!$C$14*'설정'!$E$25,1)/$D69)^(-'설정'!$C$6),('설정'!$C$25*IF($A69&gt;=31,1+'설정'!$C$14*'설정'!$E$25,1)/$D69)^(-'설정'!$C$7)),0))</f>
        <v/>
      </c>
      <c r="L69" s="8">
        <f>IF($E69*'설정'!$C$5*IF(('설정'!$C$26*IF($A69&gt;=31,1+'설정'!$C$14*'설정'!$E$26,1)/$D69)&lt;1,('설정'!$C$26*IF($A69&gt;=31,1+'설정'!$C$14*'설정'!$E$26,1)/$D69)^(-'설정'!$C$6),('설정'!$C$26*IF($A69&gt;=31,1+'설정'!$C$14*'설정'!$E$26,1)/$D69)^(-'설정'!$C$7))&gt;('설정'!$C$4+'설정'!$F$26),"실패",ROUND($E69*'설정'!$C$5*IF(('설정'!$C$26*IF($A69&gt;=31,1+'설정'!$C$14*'설정'!$E$26,1)/$D69)&lt;1,('설정'!$C$26*IF($A69&gt;=31,1+'설정'!$C$14*'설정'!$E$26,1)/$D69)^(-'설정'!$C$6),('설정'!$C$26*IF($A69&gt;=31,1+'설정'!$C$14*'설정'!$E$26,1)/$D69)^(-'설정'!$C$7)),0))</f>
        <v/>
      </c>
      <c r="M69" s="8">
        <f>IF($E69*'설정'!$C$5*IF(('설정'!$C$27*IF($A69&gt;=31,1+'설정'!$C$14*'설정'!$E$27,1)/$D69)&lt;1,('설정'!$C$27*IF($A69&gt;=31,1+'설정'!$C$14*'설정'!$E$27,1)/$D69)^(-'설정'!$C$6),('설정'!$C$27*IF($A69&gt;=31,1+'설정'!$C$14*'설정'!$E$27,1)/$D69)^(-'설정'!$C$7))&gt;('설정'!$C$4+'설정'!$F$27),"실패",ROUND($E69*'설정'!$C$5*IF(('설정'!$C$27*IF($A69&gt;=31,1+'설정'!$C$14*'설정'!$E$27,1)/$D69)&lt;1,('설정'!$C$27*IF($A69&gt;=31,1+'설정'!$C$14*'설정'!$E$27,1)/$D69)^(-'설정'!$C$6),('설정'!$C$27*IF($A69&gt;=31,1+'설정'!$C$14*'설정'!$E$27,1)/$D69)^(-'설정'!$C$7)),0))</f>
        <v/>
      </c>
      <c r="N69" s="8">
        <f>IF($E69*'설정'!$C$5*IF(('설정'!$C$28*IF($A69&gt;=31,1+'설정'!$C$14*'설정'!$E$28,1)/$D69)&lt;1,('설정'!$C$28*IF($A69&gt;=31,1+'설정'!$C$14*'설정'!$E$28,1)/$D69)^(-'설정'!$C$6),('설정'!$C$28*IF($A69&gt;=31,1+'설정'!$C$14*'설정'!$E$28,1)/$D69)^(-'설정'!$C$7))&gt;('설정'!$C$4+'설정'!$F$28),"실패",ROUND($E69*'설정'!$C$5*IF(('설정'!$C$28*IF($A69&gt;=31,1+'설정'!$C$14*'설정'!$E$28,1)/$D69)&lt;1,('설정'!$C$28*IF($A69&gt;=31,1+'설정'!$C$14*'설정'!$E$28,1)/$D69)^(-'설정'!$C$6),('설정'!$C$28*IF($A69&gt;=31,1+'설정'!$C$14*'설정'!$E$28,1)/$D69)^(-'설정'!$C$7)),0))</f>
        <v/>
      </c>
      <c r="O69" s="8">
        <f>IF($E69*'설정'!$C$5*IF(('설정'!$C$29*IF($A69&gt;=31,1+'설정'!$C$14*'설정'!$E$29,1)/$D69)&lt;1,('설정'!$C$29*IF($A69&gt;=31,1+'설정'!$C$14*'설정'!$E$29,1)/$D69)^(-'설정'!$C$6),('설정'!$C$29*IF($A69&gt;=31,1+'설정'!$C$14*'설정'!$E$29,1)/$D69)^(-'설정'!$C$7))&gt;('설정'!$C$4+'설정'!$F$29),"실패",ROUND($E69*'설정'!$C$5*IF(('설정'!$C$29*IF($A69&gt;=31,1+'설정'!$C$14*'설정'!$E$29,1)/$D69)&lt;1,('설정'!$C$29*IF($A69&gt;=31,1+'설정'!$C$14*'설정'!$E$29,1)/$D69)^(-'설정'!$C$6),('설정'!$C$29*IF($A69&gt;=31,1+'설정'!$C$14*'설정'!$E$29,1)/$D69)^(-'설정'!$C$7)),0))</f>
        <v/>
      </c>
      <c r="P69" s="8">
        <f>IF($E69*'설정'!$C$5*IF(('설정'!$C$30*IF($A69&gt;=31,1+'설정'!$C$14*'설정'!$E$30,1)/$D69)&lt;1,('설정'!$C$30*IF($A69&gt;=31,1+'설정'!$C$14*'설정'!$E$30,1)/$D69)^(-'설정'!$C$6),('설정'!$C$30*IF($A69&gt;=31,1+'설정'!$C$14*'설정'!$E$30,1)/$D69)^(-'설정'!$C$7))&gt;('설정'!$C$4+'설정'!$F$30),"실패",ROUND($E69*'설정'!$C$5*IF(('설정'!$C$30*IF($A69&gt;=31,1+'설정'!$C$14*'설정'!$E$30,1)/$D69)&lt;1,('설정'!$C$30*IF($A69&gt;=31,1+'설정'!$C$14*'설정'!$E$30,1)/$D69)^(-'설정'!$C$6),('설정'!$C$30*IF($A69&gt;=31,1+'설정'!$C$14*'설정'!$E$30,1)/$D69)^(-'설정'!$C$7)),0))</f>
        <v/>
      </c>
      <c r="Q69" s="8">
        <f>IF($E69*'설정'!$C$5*IF(('설정'!$C$31*IF($A69&gt;=31,1+'설정'!$C$14*'설정'!$E$31,1)/$D69)&lt;1,('설정'!$C$31*IF($A69&gt;=31,1+'설정'!$C$14*'설정'!$E$31,1)/$D69)^(-'설정'!$C$6),('설정'!$C$31*IF($A69&gt;=31,1+'설정'!$C$14*'설정'!$E$31,1)/$D69)^(-'설정'!$C$7))&gt;('설정'!$C$4+'설정'!$F$31),"실패",ROUND($E69*'설정'!$C$5*IF(('설정'!$C$31*IF($A69&gt;=31,1+'설정'!$C$14*'설정'!$E$31,1)/$D69)&lt;1,('설정'!$C$31*IF($A69&gt;=31,1+'설정'!$C$14*'설정'!$E$31,1)/$D69)^(-'설정'!$C$6),('설정'!$C$31*IF($A69&gt;=31,1+'설정'!$C$14*'설정'!$E$31,1)/$D69)^(-'설정'!$C$7)),0))</f>
        <v/>
      </c>
      <c r="R69" s="8">
        <f>IF($E69*'설정'!$C$5*IF(('설정'!$C$32*IF($A69&gt;=31,1+'설정'!$C$14*'설정'!$E$32,1)/$D69)&lt;1,('설정'!$C$32*IF($A69&gt;=31,1+'설정'!$C$14*'설정'!$E$32,1)/$D69)^(-'설정'!$C$6),('설정'!$C$32*IF($A69&gt;=31,1+'설정'!$C$14*'설정'!$E$32,1)/$D69)^(-'설정'!$C$7))&gt;('설정'!$C$4+'설정'!$F$32),"실패",ROUND($E69*'설정'!$C$5*IF(('설정'!$C$32*IF($A69&gt;=31,1+'설정'!$C$14*'설정'!$E$32,1)/$D69)&lt;1,('설정'!$C$32*IF($A69&gt;=31,1+'설정'!$C$14*'설정'!$E$32,1)/$D69)^(-'설정'!$C$6),('설정'!$C$32*IF($A69&gt;=31,1+'설정'!$C$14*'설정'!$E$32,1)/$D69)^(-'설정'!$C$7)),0))</f>
        <v/>
      </c>
      <c r="S69" s="8">
        <f>IF($E69*'설정'!$C$5*IF(('설정'!$C$33*IF($A69&gt;=31,1+'설정'!$C$14*'설정'!$E$33,1)/$D69)&lt;1,('설정'!$C$33*IF($A69&gt;=31,1+'설정'!$C$14*'설정'!$E$33,1)/$D69)^(-'설정'!$C$6),('설정'!$C$33*IF($A69&gt;=31,1+'설정'!$C$14*'설정'!$E$33,1)/$D69)^(-'설정'!$C$7))&gt;('설정'!$C$4+'설정'!$F$33),"실패",ROUND($E69*'설정'!$C$5*IF(('설정'!$C$33*IF($A69&gt;=31,1+'설정'!$C$14*'설정'!$E$33,1)/$D69)&lt;1,('설정'!$C$33*IF($A69&gt;=31,1+'설정'!$C$14*'설정'!$E$33,1)/$D69)^(-'설정'!$C$6),('설정'!$C$33*IF($A69&gt;=31,1+'설정'!$C$14*'설정'!$E$33,1)/$D69)^(-'설정'!$C$7)),0))</f>
        <v/>
      </c>
      <c r="T69" s="8">
        <f>IF($E69*'설정'!$C$5*IF(('설정'!$C$34*IF($A69&gt;=31,1+'설정'!$C$14*'설정'!$E$34,1)/$D69)&lt;1,('설정'!$C$34*IF($A69&gt;=31,1+'설정'!$C$14*'설정'!$E$34,1)/$D69)^(-'설정'!$C$6),('설정'!$C$34*IF($A69&gt;=31,1+'설정'!$C$14*'설정'!$E$34,1)/$D69)^(-'설정'!$C$7))&gt;('설정'!$C$4+'설정'!$F$34),"실패",ROUND($E69*'설정'!$C$5*IF(('설정'!$C$34*IF($A69&gt;=31,1+'설정'!$C$14*'설정'!$E$34,1)/$D69)&lt;1,('설정'!$C$34*IF($A69&gt;=31,1+'설정'!$C$14*'설정'!$E$34,1)/$D69)^(-'설정'!$C$6),('설정'!$C$34*IF($A69&gt;=31,1+'설정'!$C$14*'설정'!$E$34,1)/$D69)^(-'설정'!$C$7)),0))</f>
        <v/>
      </c>
      <c r="U69" s="8">
        <f>IF($E69*'설정'!$C$5*IF(('설정'!$C$35*IF($A69&gt;=31,1+'설정'!$C$14*'설정'!$E$35,1)/$D69)&lt;1,('설정'!$C$35*IF($A69&gt;=31,1+'설정'!$C$14*'설정'!$E$35,1)/$D69)^(-'설정'!$C$6),('설정'!$C$35*IF($A69&gt;=31,1+'설정'!$C$14*'설정'!$E$35,1)/$D69)^(-'설정'!$C$7))&gt;('설정'!$C$4+'설정'!$F$35),"실패",ROUND($E69*'설정'!$C$5*IF(('설정'!$C$35*IF($A69&gt;=31,1+'설정'!$C$14*'설정'!$E$35,1)/$D69)&lt;1,('설정'!$C$35*IF($A69&gt;=31,1+'설정'!$C$14*'설정'!$E$35,1)/$D69)^(-'설정'!$C$6),('설정'!$C$35*IF($A69&gt;=31,1+'설정'!$C$14*'설정'!$E$35,1)/$D69)^(-'설정'!$C$7)),0))</f>
        <v/>
      </c>
      <c r="V69" s="8">
        <f>IF($E69*'설정'!$C$5*IF(('설정'!$C$36*IF($A69&gt;=31,1+'설정'!$C$14*'설정'!$E$36,1)/$D69)&lt;1,('설정'!$C$36*IF($A69&gt;=31,1+'설정'!$C$14*'설정'!$E$36,1)/$D69)^(-'설정'!$C$6),('설정'!$C$36*IF($A69&gt;=31,1+'설정'!$C$14*'설정'!$E$36,1)/$D69)^(-'설정'!$C$7))&gt;('설정'!$C$4+'설정'!$F$36),"실패",ROUND($E69*'설정'!$C$5*IF(('설정'!$C$36*IF($A69&gt;=31,1+'설정'!$C$14*'설정'!$E$36,1)/$D69)&lt;1,('설정'!$C$36*IF($A69&gt;=31,1+'설정'!$C$14*'설정'!$E$36,1)/$D69)^(-'설정'!$C$6),('설정'!$C$36*IF($A69&gt;=31,1+'설정'!$C$14*'설정'!$E$36,1)/$D69)^(-'설정'!$C$7)),0))</f>
        <v/>
      </c>
      <c r="W69" s="8">
        <f>IF($E69*'설정'!$C$5*IF(('설정'!$C$37*IF($A69&gt;=31,1+'설정'!$C$14*'설정'!$E$37,1)/$D69)&lt;1,('설정'!$C$37*IF($A69&gt;=31,1+'설정'!$C$14*'설정'!$E$37,1)/$D69)^(-'설정'!$C$6),('설정'!$C$37*IF($A69&gt;=31,1+'설정'!$C$14*'설정'!$E$37,1)/$D69)^(-'설정'!$C$7))&gt;('설정'!$C$4+'설정'!$F$37),"실패",ROUND($E69*'설정'!$C$5*IF(('설정'!$C$37*IF($A69&gt;=31,1+'설정'!$C$14*'설정'!$E$37,1)/$D69)&lt;1,('설정'!$C$37*IF($A69&gt;=31,1+'설정'!$C$14*'설정'!$E$37,1)/$D69)^(-'설정'!$C$6),('설정'!$C$37*IF($A69&gt;=31,1+'설정'!$C$14*'설정'!$E$37,1)/$D69)^(-'설정'!$C$7)),0))</f>
        <v/>
      </c>
    </row>
    <row r="70">
      <c r="A70" t="n">
        <v>68</v>
      </c>
      <c r="B70" t="inlineStr">
        <is>
          <t>보통</t>
        </is>
      </c>
      <c r="C70" t="inlineStr"/>
      <c r="D70" s="6" t="n">
        <v>9330000</v>
      </c>
      <c r="E70" t="n">
        <v>72</v>
      </c>
      <c r="F70" s="6" t="n">
        <v>187000</v>
      </c>
      <c r="G70" t="n">
        <v>64</v>
      </c>
      <c r="H70" s="8">
        <f>IF($E70*'설정'!$C$5*IF(('설정'!$C$22*IF($A70&gt;=31,1+'설정'!$C$14*'설정'!$E$22,1)/$D70)&lt;1,('설정'!$C$22*IF($A70&gt;=31,1+'설정'!$C$14*'설정'!$E$22,1)/$D70)^(-'설정'!$C$6),('설정'!$C$22*IF($A70&gt;=31,1+'설정'!$C$14*'설정'!$E$22,1)/$D70)^(-'설정'!$C$7))&gt;('설정'!$C$4+'설정'!$F$22),"실패",ROUND($E70*'설정'!$C$5*IF(('설정'!$C$22*IF($A70&gt;=31,1+'설정'!$C$14*'설정'!$E$22,1)/$D70)&lt;1,('설정'!$C$22*IF($A70&gt;=31,1+'설정'!$C$14*'설정'!$E$22,1)/$D70)^(-'설정'!$C$6),('설정'!$C$22*IF($A70&gt;=31,1+'설정'!$C$14*'설정'!$E$22,1)/$D70)^(-'설정'!$C$7)),0))</f>
        <v/>
      </c>
      <c r="I70" s="8">
        <f>IF($E70*'설정'!$C$5*IF(('설정'!$C$23*IF($A70&gt;=31,1+'설정'!$C$14*'설정'!$E$23,1)/$D70)&lt;1,('설정'!$C$23*IF($A70&gt;=31,1+'설정'!$C$14*'설정'!$E$23,1)/$D70)^(-'설정'!$C$6),('설정'!$C$23*IF($A70&gt;=31,1+'설정'!$C$14*'설정'!$E$23,1)/$D70)^(-'설정'!$C$7))&gt;('설정'!$C$4+'설정'!$F$23),"실패",ROUND($E70*'설정'!$C$5*IF(('설정'!$C$23*IF($A70&gt;=31,1+'설정'!$C$14*'설정'!$E$23,1)/$D70)&lt;1,('설정'!$C$23*IF($A70&gt;=31,1+'설정'!$C$14*'설정'!$E$23,1)/$D70)^(-'설정'!$C$6),('설정'!$C$23*IF($A70&gt;=31,1+'설정'!$C$14*'설정'!$E$23,1)/$D70)^(-'설정'!$C$7)),0))</f>
        <v/>
      </c>
      <c r="J70" s="8">
        <f>IF($E70*'설정'!$C$5*IF(('설정'!$C$24*IF($A70&gt;=31,1+'설정'!$C$14*'설정'!$E$24,1)/$D70)&lt;1,('설정'!$C$24*IF($A70&gt;=31,1+'설정'!$C$14*'설정'!$E$24,1)/$D70)^(-'설정'!$C$6),('설정'!$C$24*IF($A70&gt;=31,1+'설정'!$C$14*'설정'!$E$24,1)/$D70)^(-'설정'!$C$7))&gt;('설정'!$C$4+'설정'!$F$24),"실패",ROUND($E70*'설정'!$C$5*IF(('설정'!$C$24*IF($A70&gt;=31,1+'설정'!$C$14*'설정'!$E$24,1)/$D70)&lt;1,('설정'!$C$24*IF($A70&gt;=31,1+'설정'!$C$14*'설정'!$E$24,1)/$D70)^(-'설정'!$C$6),('설정'!$C$24*IF($A70&gt;=31,1+'설정'!$C$14*'설정'!$E$24,1)/$D70)^(-'설정'!$C$7)),0))</f>
        <v/>
      </c>
      <c r="K70" s="8">
        <f>IF($E70*'설정'!$C$5*IF(('설정'!$C$25*IF($A70&gt;=31,1+'설정'!$C$14*'설정'!$E$25,1)/$D70)&lt;1,('설정'!$C$25*IF($A70&gt;=31,1+'설정'!$C$14*'설정'!$E$25,1)/$D70)^(-'설정'!$C$6),('설정'!$C$25*IF($A70&gt;=31,1+'설정'!$C$14*'설정'!$E$25,1)/$D70)^(-'설정'!$C$7))&gt;('설정'!$C$4+'설정'!$F$25),"실패",ROUND($E70*'설정'!$C$5*IF(('설정'!$C$25*IF($A70&gt;=31,1+'설정'!$C$14*'설정'!$E$25,1)/$D70)&lt;1,('설정'!$C$25*IF($A70&gt;=31,1+'설정'!$C$14*'설정'!$E$25,1)/$D70)^(-'설정'!$C$6),('설정'!$C$25*IF($A70&gt;=31,1+'설정'!$C$14*'설정'!$E$25,1)/$D70)^(-'설정'!$C$7)),0))</f>
        <v/>
      </c>
      <c r="L70" s="8">
        <f>IF($E70*'설정'!$C$5*IF(('설정'!$C$26*IF($A70&gt;=31,1+'설정'!$C$14*'설정'!$E$26,1)/$D70)&lt;1,('설정'!$C$26*IF($A70&gt;=31,1+'설정'!$C$14*'설정'!$E$26,1)/$D70)^(-'설정'!$C$6),('설정'!$C$26*IF($A70&gt;=31,1+'설정'!$C$14*'설정'!$E$26,1)/$D70)^(-'설정'!$C$7))&gt;('설정'!$C$4+'설정'!$F$26),"실패",ROUND($E70*'설정'!$C$5*IF(('설정'!$C$26*IF($A70&gt;=31,1+'설정'!$C$14*'설정'!$E$26,1)/$D70)&lt;1,('설정'!$C$26*IF($A70&gt;=31,1+'설정'!$C$14*'설정'!$E$26,1)/$D70)^(-'설정'!$C$6),('설정'!$C$26*IF($A70&gt;=31,1+'설정'!$C$14*'설정'!$E$26,1)/$D70)^(-'설정'!$C$7)),0))</f>
        <v/>
      </c>
      <c r="M70" s="8">
        <f>IF($E70*'설정'!$C$5*IF(('설정'!$C$27*IF($A70&gt;=31,1+'설정'!$C$14*'설정'!$E$27,1)/$D70)&lt;1,('설정'!$C$27*IF($A70&gt;=31,1+'설정'!$C$14*'설정'!$E$27,1)/$D70)^(-'설정'!$C$6),('설정'!$C$27*IF($A70&gt;=31,1+'설정'!$C$14*'설정'!$E$27,1)/$D70)^(-'설정'!$C$7))&gt;('설정'!$C$4+'설정'!$F$27),"실패",ROUND($E70*'설정'!$C$5*IF(('설정'!$C$27*IF($A70&gt;=31,1+'설정'!$C$14*'설정'!$E$27,1)/$D70)&lt;1,('설정'!$C$27*IF($A70&gt;=31,1+'설정'!$C$14*'설정'!$E$27,1)/$D70)^(-'설정'!$C$6),('설정'!$C$27*IF($A70&gt;=31,1+'설정'!$C$14*'설정'!$E$27,1)/$D70)^(-'설정'!$C$7)),0))</f>
        <v/>
      </c>
      <c r="N70" s="8">
        <f>IF($E70*'설정'!$C$5*IF(('설정'!$C$28*IF($A70&gt;=31,1+'설정'!$C$14*'설정'!$E$28,1)/$D70)&lt;1,('설정'!$C$28*IF($A70&gt;=31,1+'설정'!$C$14*'설정'!$E$28,1)/$D70)^(-'설정'!$C$6),('설정'!$C$28*IF($A70&gt;=31,1+'설정'!$C$14*'설정'!$E$28,1)/$D70)^(-'설정'!$C$7))&gt;('설정'!$C$4+'설정'!$F$28),"실패",ROUND($E70*'설정'!$C$5*IF(('설정'!$C$28*IF($A70&gt;=31,1+'설정'!$C$14*'설정'!$E$28,1)/$D70)&lt;1,('설정'!$C$28*IF($A70&gt;=31,1+'설정'!$C$14*'설정'!$E$28,1)/$D70)^(-'설정'!$C$6),('설정'!$C$28*IF($A70&gt;=31,1+'설정'!$C$14*'설정'!$E$28,1)/$D70)^(-'설정'!$C$7)),0))</f>
        <v/>
      </c>
      <c r="O70" s="8">
        <f>IF($E70*'설정'!$C$5*IF(('설정'!$C$29*IF($A70&gt;=31,1+'설정'!$C$14*'설정'!$E$29,1)/$D70)&lt;1,('설정'!$C$29*IF($A70&gt;=31,1+'설정'!$C$14*'설정'!$E$29,1)/$D70)^(-'설정'!$C$6),('설정'!$C$29*IF($A70&gt;=31,1+'설정'!$C$14*'설정'!$E$29,1)/$D70)^(-'설정'!$C$7))&gt;('설정'!$C$4+'설정'!$F$29),"실패",ROUND($E70*'설정'!$C$5*IF(('설정'!$C$29*IF($A70&gt;=31,1+'설정'!$C$14*'설정'!$E$29,1)/$D70)&lt;1,('설정'!$C$29*IF($A70&gt;=31,1+'설정'!$C$14*'설정'!$E$29,1)/$D70)^(-'설정'!$C$6),('설정'!$C$29*IF($A70&gt;=31,1+'설정'!$C$14*'설정'!$E$29,1)/$D70)^(-'설정'!$C$7)),0))</f>
        <v/>
      </c>
      <c r="P70" s="8">
        <f>IF($E70*'설정'!$C$5*IF(('설정'!$C$30*IF($A70&gt;=31,1+'설정'!$C$14*'설정'!$E$30,1)/$D70)&lt;1,('설정'!$C$30*IF($A70&gt;=31,1+'설정'!$C$14*'설정'!$E$30,1)/$D70)^(-'설정'!$C$6),('설정'!$C$30*IF($A70&gt;=31,1+'설정'!$C$14*'설정'!$E$30,1)/$D70)^(-'설정'!$C$7))&gt;('설정'!$C$4+'설정'!$F$30),"실패",ROUND($E70*'설정'!$C$5*IF(('설정'!$C$30*IF($A70&gt;=31,1+'설정'!$C$14*'설정'!$E$30,1)/$D70)&lt;1,('설정'!$C$30*IF($A70&gt;=31,1+'설정'!$C$14*'설정'!$E$30,1)/$D70)^(-'설정'!$C$6),('설정'!$C$30*IF($A70&gt;=31,1+'설정'!$C$14*'설정'!$E$30,1)/$D70)^(-'설정'!$C$7)),0))</f>
        <v/>
      </c>
      <c r="Q70" s="8">
        <f>IF($E70*'설정'!$C$5*IF(('설정'!$C$31*IF($A70&gt;=31,1+'설정'!$C$14*'설정'!$E$31,1)/$D70)&lt;1,('설정'!$C$31*IF($A70&gt;=31,1+'설정'!$C$14*'설정'!$E$31,1)/$D70)^(-'설정'!$C$6),('설정'!$C$31*IF($A70&gt;=31,1+'설정'!$C$14*'설정'!$E$31,1)/$D70)^(-'설정'!$C$7))&gt;('설정'!$C$4+'설정'!$F$31),"실패",ROUND($E70*'설정'!$C$5*IF(('설정'!$C$31*IF($A70&gt;=31,1+'설정'!$C$14*'설정'!$E$31,1)/$D70)&lt;1,('설정'!$C$31*IF($A70&gt;=31,1+'설정'!$C$14*'설정'!$E$31,1)/$D70)^(-'설정'!$C$6),('설정'!$C$31*IF($A70&gt;=31,1+'설정'!$C$14*'설정'!$E$31,1)/$D70)^(-'설정'!$C$7)),0))</f>
        <v/>
      </c>
      <c r="R70" s="8">
        <f>IF($E70*'설정'!$C$5*IF(('설정'!$C$32*IF($A70&gt;=31,1+'설정'!$C$14*'설정'!$E$32,1)/$D70)&lt;1,('설정'!$C$32*IF($A70&gt;=31,1+'설정'!$C$14*'설정'!$E$32,1)/$D70)^(-'설정'!$C$6),('설정'!$C$32*IF($A70&gt;=31,1+'설정'!$C$14*'설정'!$E$32,1)/$D70)^(-'설정'!$C$7))&gt;('설정'!$C$4+'설정'!$F$32),"실패",ROUND($E70*'설정'!$C$5*IF(('설정'!$C$32*IF($A70&gt;=31,1+'설정'!$C$14*'설정'!$E$32,1)/$D70)&lt;1,('설정'!$C$32*IF($A70&gt;=31,1+'설정'!$C$14*'설정'!$E$32,1)/$D70)^(-'설정'!$C$6),('설정'!$C$32*IF($A70&gt;=31,1+'설정'!$C$14*'설정'!$E$32,1)/$D70)^(-'설정'!$C$7)),0))</f>
        <v/>
      </c>
      <c r="S70" s="8">
        <f>IF($E70*'설정'!$C$5*IF(('설정'!$C$33*IF($A70&gt;=31,1+'설정'!$C$14*'설정'!$E$33,1)/$D70)&lt;1,('설정'!$C$33*IF($A70&gt;=31,1+'설정'!$C$14*'설정'!$E$33,1)/$D70)^(-'설정'!$C$6),('설정'!$C$33*IF($A70&gt;=31,1+'설정'!$C$14*'설정'!$E$33,1)/$D70)^(-'설정'!$C$7))&gt;('설정'!$C$4+'설정'!$F$33),"실패",ROUND($E70*'설정'!$C$5*IF(('설정'!$C$33*IF($A70&gt;=31,1+'설정'!$C$14*'설정'!$E$33,1)/$D70)&lt;1,('설정'!$C$33*IF($A70&gt;=31,1+'설정'!$C$14*'설정'!$E$33,1)/$D70)^(-'설정'!$C$6),('설정'!$C$33*IF($A70&gt;=31,1+'설정'!$C$14*'설정'!$E$33,1)/$D70)^(-'설정'!$C$7)),0))</f>
        <v/>
      </c>
      <c r="T70" s="8">
        <f>IF($E70*'설정'!$C$5*IF(('설정'!$C$34*IF($A70&gt;=31,1+'설정'!$C$14*'설정'!$E$34,1)/$D70)&lt;1,('설정'!$C$34*IF($A70&gt;=31,1+'설정'!$C$14*'설정'!$E$34,1)/$D70)^(-'설정'!$C$6),('설정'!$C$34*IF($A70&gt;=31,1+'설정'!$C$14*'설정'!$E$34,1)/$D70)^(-'설정'!$C$7))&gt;('설정'!$C$4+'설정'!$F$34),"실패",ROUND($E70*'설정'!$C$5*IF(('설정'!$C$34*IF($A70&gt;=31,1+'설정'!$C$14*'설정'!$E$34,1)/$D70)&lt;1,('설정'!$C$34*IF($A70&gt;=31,1+'설정'!$C$14*'설정'!$E$34,1)/$D70)^(-'설정'!$C$6),('설정'!$C$34*IF($A70&gt;=31,1+'설정'!$C$14*'설정'!$E$34,1)/$D70)^(-'설정'!$C$7)),0))</f>
        <v/>
      </c>
      <c r="U70" s="8">
        <f>IF($E70*'설정'!$C$5*IF(('설정'!$C$35*IF($A70&gt;=31,1+'설정'!$C$14*'설정'!$E$35,1)/$D70)&lt;1,('설정'!$C$35*IF($A70&gt;=31,1+'설정'!$C$14*'설정'!$E$35,1)/$D70)^(-'설정'!$C$6),('설정'!$C$35*IF($A70&gt;=31,1+'설정'!$C$14*'설정'!$E$35,1)/$D70)^(-'설정'!$C$7))&gt;('설정'!$C$4+'설정'!$F$35),"실패",ROUND($E70*'설정'!$C$5*IF(('설정'!$C$35*IF($A70&gt;=31,1+'설정'!$C$14*'설정'!$E$35,1)/$D70)&lt;1,('설정'!$C$35*IF($A70&gt;=31,1+'설정'!$C$14*'설정'!$E$35,1)/$D70)^(-'설정'!$C$6),('설정'!$C$35*IF($A70&gt;=31,1+'설정'!$C$14*'설정'!$E$35,1)/$D70)^(-'설정'!$C$7)),0))</f>
        <v/>
      </c>
      <c r="V70" s="8">
        <f>IF($E70*'설정'!$C$5*IF(('설정'!$C$36*IF($A70&gt;=31,1+'설정'!$C$14*'설정'!$E$36,1)/$D70)&lt;1,('설정'!$C$36*IF($A70&gt;=31,1+'설정'!$C$14*'설정'!$E$36,1)/$D70)^(-'설정'!$C$6),('설정'!$C$36*IF($A70&gt;=31,1+'설정'!$C$14*'설정'!$E$36,1)/$D70)^(-'설정'!$C$7))&gt;('설정'!$C$4+'설정'!$F$36),"실패",ROUND($E70*'설정'!$C$5*IF(('설정'!$C$36*IF($A70&gt;=31,1+'설정'!$C$14*'설정'!$E$36,1)/$D70)&lt;1,('설정'!$C$36*IF($A70&gt;=31,1+'설정'!$C$14*'설정'!$E$36,1)/$D70)^(-'설정'!$C$6),('설정'!$C$36*IF($A70&gt;=31,1+'설정'!$C$14*'설정'!$E$36,1)/$D70)^(-'설정'!$C$7)),0))</f>
        <v/>
      </c>
      <c r="W70" s="8">
        <f>IF($E70*'설정'!$C$5*IF(('설정'!$C$37*IF($A70&gt;=31,1+'설정'!$C$14*'설정'!$E$37,1)/$D70)&lt;1,('설정'!$C$37*IF($A70&gt;=31,1+'설정'!$C$14*'설정'!$E$37,1)/$D70)^(-'설정'!$C$6),('설정'!$C$37*IF($A70&gt;=31,1+'설정'!$C$14*'설정'!$E$37,1)/$D70)^(-'설정'!$C$7))&gt;('설정'!$C$4+'설정'!$F$37),"실패",ROUND($E70*'설정'!$C$5*IF(('설정'!$C$37*IF($A70&gt;=31,1+'설정'!$C$14*'설정'!$E$37,1)/$D70)&lt;1,('설정'!$C$37*IF($A70&gt;=31,1+'설정'!$C$14*'설정'!$E$37,1)/$D70)^(-'설정'!$C$6),('설정'!$C$37*IF($A70&gt;=31,1+'설정'!$C$14*'설정'!$E$37,1)/$D70)^(-'설정'!$C$7)),0))</f>
        <v/>
      </c>
    </row>
    <row r="71">
      <c r="A71" t="n">
        <v>69</v>
      </c>
      <c r="B71" t="inlineStr">
        <is>
          <t>어려움</t>
        </is>
      </c>
      <c r="C71" t="inlineStr"/>
      <c r="D71" s="6" t="n">
        <v>10300000</v>
      </c>
      <c r="E71" t="n">
        <v>90</v>
      </c>
      <c r="F71" s="6" t="n">
        <v>205000</v>
      </c>
      <c r="G71" t="n">
        <v>65</v>
      </c>
      <c r="H71" s="8">
        <f>IF($E71*'설정'!$C$5*IF(('설정'!$C$22*IF($A71&gt;=31,1+'설정'!$C$14*'설정'!$E$22,1)/$D71)&lt;1,('설정'!$C$22*IF($A71&gt;=31,1+'설정'!$C$14*'설정'!$E$22,1)/$D71)^(-'설정'!$C$6),('설정'!$C$22*IF($A71&gt;=31,1+'설정'!$C$14*'설정'!$E$22,1)/$D71)^(-'설정'!$C$7))&gt;('설정'!$C$4+'설정'!$F$22),"실패",ROUND($E71*'설정'!$C$5*IF(('설정'!$C$22*IF($A71&gt;=31,1+'설정'!$C$14*'설정'!$E$22,1)/$D71)&lt;1,('설정'!$C$22*IF($A71&gt;=31,1+'설정'!$C$14*'설정'!$E$22,1)/$D71)^(-'설정'!$C$6),('설정'!$C$22*IF($A71&gt;=31,1+'설정'!$C$14*'설정'!$E$22,1)/$D71)^(-'설정'!$C$7)),0))</f>
        <v/>
      </c>
      <c r="I71" s="8">
        <f>IF($E71*'설정'!$C$5*IF(('설정'!$C$23*IF($A71&gt;=31,1+'설정'!$C$14*'설정'!$E$23,1)/$D71)&lt;1,('설정'!$C$23*IF($A71&gt;=31,1+'설정'!$C$14*'설정'!$E$23,1)/$D71)^(-'설정'!$C$6),('설정'!$C$23*IF($A71&gt;=31,1+'설정'!$C$14*'설정'!$E$23,1)/$D71)^(-'설정'!$C$7))&gt;('설정'!$C$4+'설정'!$F$23),"실패",ROUND($E71*'설정'!$C$5*IF(('설정'!$C$23*IF($A71&gt;=31,1+'설정'!$C$14*'설정'!$E$23,1)/$D71)&lt;1,('설정'!$C$23*IF($A71&gt;=31,1+'설정'!$C$14*'설정'!$E$23,1)/$D71)^(-'설정'!$C$6),('설정'!$C$23*IF($A71&gt;=31,1+'설정'!$C$14*'설정'!$E$23,1)/$D71)^(-'설정'!$C$7)),0))</f>
        <v/>
      </c>
      <c r="J71" s="8">
        <f>IF($E71*'설정'!$C$5*IF(('설정'!$C$24*IF($A71&gt;=31,1+'설정'!$C$14*'설정'!$E$24,1)/$D71)&lt;1,('설정'!$C$24*IF($A71&gt;=31,1+'설정'!$C$14*'설정'!$E$24,1)/$D71)^(-'설정'!$C$6),('설정'!$C$24*IF($A71&gt;=31,1+'설정'!$C$14*'설정'!$E$24,1)/$D71)^(-'설정'!$C$7))&gt;('설정'!$C$4+'설정'!$F$24),"실패",ROUND($E71*'설정'!$C$5*IF(('설정'!$C$24*IF($A71&gt;=31,1+'설정'!$C$14*'설정'!$E$24,1)/$D71)&lt;1,('설정'!$C$24*IF($A71&gt;=31,1+'설정'!$C$14*'설정'!$E$24,1)/$D71)^(-'설정'!$C$6),('설정'!$C$24*IF($A71&gt;=31,1+'설정'!$C$14*'설정'!$E$24,1)/$D71)^(-'설정'!$C$7)),0))</f>
        <v/>
      </c>
      <c r="K71" s="8">
        <f>IF($E71*'설정'!$C$5*IF(('설정'!$C$25*IF($A71&gt;=31,1+'설정'!$C$14*'설정'!$E$25,1)/$D71)&lt;1,('설정'!$C$25*IF($A71&gt;=31,1+'설정'!$C$14*'설정'!$E$25,1)/$D71)^(-'설정'!$C$6),('설정'!$C$25*IF($A71&gt;=31,1+'설정'!$C$14*'설정'!$E$25,1)/$D71)^(-'설정'!$C$7))&gt;('설정'!$C$4+'설정'!$F$25),"실패",ROUND($E71*'설정'!$C$5*IF(('설정'!$C$25*IF($A71&gt;=31,1+'설정'!$C$14*'설정'!$E$25,1)/$D71)&lt;1,('설정'!$C$25*IF($A71&gt;=31,1+'설정'!$C$14*'설정'!$E$25,1)/$D71)^(-'설정'!$C$6),('설정'!$C$25*IF($A71&gt;=31,1+'설정'!$C$14*'설정'!$E$25,1)/$D71)^(-'설정'!$C$7)),0))</f>
        <v/>
      </c>
      <c r="L71" s="8">
        <f>IF($E71*'설정'!$C$5*IF(('설정'!$C$26*IF($A71&gt;=31,1+'설정'!$C$14*'설정'!$E$26,1)/$D71)&lt;1,('설정'!$C$26*IF($A71&gt;=31,1+'설정'!$C$14*'설정'!$E$26,1)/$D71)^(-'설정'!$C$6),('설정'!$C$26*IF($A71&gt;=31,1+'설정'!$C$14*'설정'!$E$26,1)/$D71)^(-'설정'!$C$7))&gt;('설정'!$C$4+'설정'!$F$26),"실패",ROUND($E71*'설정'!$C$5*IF(('설정'!$C$26*IF($A71&gt;=31,1+'설정'!$C$14*'설정'!$E$26,1)/$D71)&lt;1,('설정'!$C$26*IF($A71&gt;=31,1+'설정'!$C$14*'설정'!$E$26,1)/$D71)^(-'설정'!$C$6),('설정'!$C$26*IF($A71&gt;=31,1+'설정'!$C$14*'설정'!$E$26,1)/$D71)^(-'설정'!$C$7)),0))</f>
        <v/>
      </c>
      <c r="M71" s="8">
        <f>IF($E71*'설정'!$C$5*IF(('설정'!$C$27*IF($A71&gt;=31,1+'설정'!$C$14*'설정'!$E$27,1)/$D71)&lt;1,('설정'!$C$27*IF($A71&gt;=31,1+'설정'!$C$14*'설정'!$E$27,1)/$D71)^(-'설정'!$C$6),('설정'!$C$27*IF($A71&gt;=31,1+'설정'!$C$14*'설정'!$E$27,1)/$D71)^(-'설정'!$C$7))&gt;('설정'!$C$4+'설정'!$F$27),"실패",ROUND($E71*'설정'!$C$5*IF(('설정'!$C$27*IF($A71&gt;=31,1+'설정'!$C$14*'설정'!$E$27,1)/$D71)&lt;1,('설정'!$C$27*IF($A71&gt;=31,1+'설정'!$C$14*'설정'!$E$27,1)/$D71)^(-'설정'!$C$6),('설정'!$C$27*IF($A71&gt;=31,1+'설정'!$C$14*'설정'!$E$27,1)/$D71)^(-'설정'!$C$7)),0))</f>
        <v/>
      </c>
      <c r="N71" s="8">
        <f>IF($E71*'설정'!$C$5*IF(('설정'!$C$28*IF($A71&gt;=31,1+'설정'!$C$14*'설정'!$E$28,1)/$D71)&lt;1,('설정'!$C$28*IF($A71&gt;=31,1+'설정'!$C$14*'설정'!$E$28,1)/$D71)^(-'설정'!$C$6),('설정'!$C$28*IF($A71&gt;=31,1+'설정'!$C$14*'설정'!$E$28,1)/$D71)^(-'설정'!$C$7))&gt;('설정'!$C$4+'설정'!$F$28),"실패",ROUND($E71*'설정'!$C$5*IF(('설정'!$C$28*IF($A71&gt;=31,1+'설정'!$C$14*'설정'!$E$28,1)/$D71)&lt;1,('설정'!$C$28*IF($A71&gt;=31,1+'설정'!$C$14*'설정'!$E$28,1)/$D71)^(-'설정'!$C$6),('설정'!$C$28*IF($A71&gt;=31,1+'설정'!$C$14*'설정'!$E$28,1)/$D71)^(-'설정'!$C$7)),0))</f>
        <v/>
      </c>
      <c r="O71" s="8">
        <f>IF($E71*'설정'!$C$5*IF(('설정'!$C$29*IF($A71&gt;=31,1+'설정'!$C$14*'설정'!$E$29,1)/$D71)&lt;1,('설정'!$C$29*IF($A71&gt;=31,1+'설정'!$C$14*'설정'!$E$29,1)/$D71)^(-'설정'!$C$6),('설정'!$C$29*IF($A71&gt;=31,1+'설정'!$C$14*'설정'!$E$29,1)/$D71)^(-'설정'!$C$7))&gt;('설정'!$C$4+'설정'!$F$29),"실패",ROUND($E71*'설정'!$C$5*IF(('설정'!$C$29*IF($A71&gt;=31,1+'설정'!$C$14*'설정'!$E$29,1)/$D71)&lt;1,('설정'!$C$29*IF($A71&gt;=31,1+'설정'!$C$14*'설정'!$E$29,1)/$D71)^(-'설정'!$C$6),('설정'!$C$29*IF($A71&gt;=31,1+'설정'!$C$14*'설정'!$E$29,1)/$D71)^(-'설정'!$C$7)),0))</f>
        <v/>
      </c>
      <c r="P71" s="8">
        <f>IF($E71*'설정'!$C$5*IF(('설정'!$C$30*IF($A71&gt;=31,1+'설정'!$C$14*'설정'!$E$30,1)/$D71)&lt;1,('설정'!$C$30*IF($A71&gt;=31,1+'설정'!$C$14*'설정'!$E$30,1)/$D71)^(-'설정'!$C$6),('설정'!$C$30*IF($A71&gt;=31,1+'설정'!$C$14*'설정'!$E$30,1)/$D71)^(-'설정'!$C$7))&gt;('설정'!$C$4+'설정'!$F$30),"실패",ROUND($E71*'설정'!$C$5*IF(('설정'!$C$30*IF($A71&gt;=31,1+'설정'!$C$14*'설정'!$E$30,1)/$D71)&lt;1,('설정'!$C$30*IF($A71&gt;=31,1+'설정'!$C$14*'설정'!$E$30,1)/$D71)^(-'설정'!$C$6),('설정'!$C$30*IF($A71&gt;=31,1+'설정'!$C$14*'설정'!$E$30,1)/$D71)^(-'설정'!$C$7)),0))</f>
        <v/>
      </c>
      <c r="Q71" s="8">
        <f>IF($E71*'설정'!$C$5*IF(('설정'!$C$31*IF($A71&gt;=31,1+'설정'!$C$14*'설정'!$E$31,1)/$D71)&lt;1,('설정'!$C$31*IF($A71&gt;=31,1+'설정'!$C$14*'설정'!$E$31,1)/$D71)^(-'설정'!$C$6),('설정'!$C$31*IF($A71&gt;=31,1+'설정'!$C$14*'설정'!$E$31,1)/$D71)^(-'설정'!$C$7))&gt;('설정'!$C$4+'설정'!$F$31),"실패",ROUND($E71*'설정'!$C$5*IF(('설정'!$C$31*IF($A71&gt;=31,1+'설정'!$C$14*'설정'!$E$31,1)/$D71)&lt;1,('설정'!$C$31*IF($A71&gt;=31,1+'설정'!$C$14*'설정'!$E$31,1)/$D71)^(-'설정'!$C$6),('설정'!$C$31*IF($A71&gt;=31,1+'설정'!$C$14*'설정'!$E$31,1)/$D71)^(-'설정'!$C$7)),0))</f>
        <v/>
      </c>
      <c r="R71" s="8">
        <f>IF($E71*'설정'!$C$5*IF(('설정'!$C$32*IF($A71&gt;=31,1+'설정'!$C$14*'설정'!$E$32,1)/$D71)&lt;1,('설정'!$C$32*IF($A71&gt;=31,1+'설정'!$C$14*'설정'!$E$32,1)/$D71)^(-'설정'!$C$6),('설정'!$C$32*IF($A71&gt;=31,1+'설정'!$C$14*'설정'!$E$32,1)/$D71)^(-'설정'!$C$7))&gt;('설정'!$C$4+'설정'!$F$32),"실패",ROUND($E71*'설정'!$C$5*IF(('설정'!$C$32*IF($A71&gt;=31,1+'설정'!$C$14*'설정'!$E$32,1)/$D71)&lt;1,('설정'!$C$32*IF($A71&gt;=31,1+'설정'!$C$14*'설정'!$E$32,1)/$D71)^(-'설정'!$C$6),('설정'!$C$32*IF($A71&gt;=31,1+'설정'!$C$14*'설정'!$E$32,1)/$D71)^(-'설정'!$C$7)),0))</f>
        <v/>
      </c>
      <c r="S71" s="8">
        <f>IF($E71*'설정'!$C$5*IF(('설정'!$C$33*IF($A71&gt;=31,1+'설정'!$C$14*'설정'!$E$33,1)/$D71)&lt;1,('설정'!$C$33*IF($A71&gt;=31,1+'설정'!$C$14*'설정'!$E$33,1)/$D71)^(-'설정'!$C$6),('설정'!$C$33*IF($A71&gt;=31,1+'설정'!$C$14*'설정'!$E$33,1)/$D71)^(-'설정'!$C$7))&gt;('설정'!$C$4+'설정'!$F$33),"실패",ROUND($E71*'설정'!$C$5*IF(('설정'!$C$33*IF($A71&gt;=31,1+'설정'!$C$14*'설정'!$E$33,1)/$D71)&lt;1,('설정'!$C$33*IF($A71&gt;=31,1+'설정'!$C$14*'설정'!$E$33,1)/$D71)^(-'설정'!$C$6),('설정'!$C$33*IF($A71&gt;=31,1+'설정'!$C$14*'설정'!$E$33,1)/$D71)^(-'설정'!$C$7)),0))</f>
        <v/>
      </c>
      <c r="T71" s="8">
        <f>IF($E71*'설정'!$C$5*IF(('설정'!$C$34*IF($A71&gt;=31,1+'설정'!$C$14*'설정'!$E$34,1)/$D71)&lt;1,('설정'!$C$34*IF($A71&gt;=31,1+'설정'!$C$14*'설정'!$E$34,1)/$D71)^(-'설정'!$C$6),('설정'!$C$34*IF($A71&gt;=31,1+'설정'!$C$14*'설정'!$E$34,1)/$D71)^(-'설정'!$C$7))&gt;('설정'!$C$4+'설정'!$F$34),"실패",ROUND($E71*'설정'!$C$5*IF(('설정'!$C$34*IF($A71&gt;=31,1+'설정'!$C$14*'설정'!$E$34,1)/$D71)&lt;1,('설정'!$C$34*IF($A71&gt;=31,1+'설정'!$C$14*'설정'!$E$34,1)/$D71)^(-'설정'!$C$6),('설정'!$C$34*IF($A71&gt;=31,1+'설정'!$C$14*'설정'!$E$34,1)/$D71)^(-'설정'!$C$7)),0))</f>
        <v/>
      </c>
      <c r="U71" s="8">
        <f>IF($E71*'설정'!$C$5*IF(('설정'!$C$35*IF($A71&gt;=31,1+'설정'!$C$14*'설정'!$E$35,1)/$D71)&lt;1,('설정'!$C$35*IF($A71&gt;=31,1+'설정'!$C$14*'설정'!$E$35,1)/$D71)^(-'설정'!$C$6),('설정'!$C$35*IF($A71&gt;=31,1+'설정'!$C$14*'설정'!$E$35,1)/$D71)^(-'설정'!$C$7))&gt;('설정'!$C$4+'설정'!$F$35),"실패",ROUND($E71*'설정'!$C$5*IF(('설정'!$C$35*IF($A71&gt;=31,1+'설정'!$C$14*'설정'!$E$35,1)/$D71)&lt;1,('설정'!$C$35*IF($A71&gt;=31,1+'설정'!$C$14*'설정'!$E$35,1)/$D71)^(-'설정'!$C$6),('설정'!$C$35*IF($A71&gt;=31,1+'설정'!$C$14*'설정'!$E$35,1)/$D71)^(-'설정'!$C$7)),0))</f>
        <v/>
      </c>
      <c r="V71" s="8">
        <f>IF($E71*'설정'!$C$5*IF(('설정'!$C$36*IF($A71&gt;=31,1+'설정'!$C$14*'설정'!$E$36,1)/$D71)&lt;1,('설정'!$C$36*IF($A71&gt;=31,1+'설정'!$C$14*'설정'!$E$36,1)/$D71)^(-'설정'!$C$6),('설정'!$C$36*IF($A71&gt;=31,1+'설정'!$C$14*'설정'!$E$36,1)/$D71)^(-'설정'!$C$7))&gt;('설정'!$C$4+'설정'!$F$36),"실패",ROUND($E71*'설정'!$C$5*IF(('설정'!$C$36*IF($A71&gt;=31,1+'설정'!$C$14*'설정'!$E$36,1)/$D71)&lt;1,('설정'!$C$36*IF($A71&gt;=31,1+'설정'!$C$14*'설정'!$E$36,1)/$D71)^(-'설정'!$C$6),('설정'!$C$36*IF($A71&gt;=31,1+'설정'!$C$14*'설정'!$E$36,1)/$D71)^(-'설정'!$C$7)),0))</f>
        <v/>
      </c>
      <c r="W71" s="8">
        <f>IF($E71*'설정'!$C$5*IF(('설정'!$C$37*IF($A71&gt;=31,1+'설정'!$C$14*'설정'!$E$37,1)/$D71)&lt;1,('설정'!$C$37*IF($A71&gt;=31,1+'설정'!$C$14*'설정'!$E$37,1)/$D71)^(-'설정'!$C$6),('설정'!$C$37*IF($A71&gt;=31,1+'설정'!$C$14*'설정'!$E$37,1)/$D71)^(-'설정'!$C$7))&gt;('설정'!$C$4+'설정'!$F$37),"실패",ROUND($E71*'설정'!$C$5*IF(('설정'!$C$37*IF($A71&gt;=31,1+'설정'!$C$14*'설정'!$E$37,1)/$D71)&lt;1,('설정'!$C$37*IF($A71&gt;=31,1+'설정'!$C$14*'설정'!$E$37,1)/$D71)^(-'설정'!$C$6),('설정'!$C$37*IF($A71&gt;=31,1+'설정'!$C$14*'설정'!$E$37,1)/$D71)^(-'설정'!$C$7)),0))</f>
        <v/>
      </c>
    </row>
    <row r="72">
      <c r="A72" s="4" t="n">
        <v>70</v>
      </c>
      <c r="B72" s="4" t="inlineStr">
        <is>
          <t>허들</t>
        </is>
      </c>
      <c r="C72" s="4" t="inlineStr">
        <is>
          <t>보스</t>
        </is>
      </c>
      <c r="D72" s="9" t="n">
        <v>18100000</v>
      </c>
      <c r="E72" s="4" t="n">
        <v>155.4</v>
      </c>
      <c r="F72" s="9" t="n">
        <v>362000</v>
      </c>
      <c r="G72" s="4" t="n">
        <v>71</v>
      </c>
      <c r="H72" s="8">
        <f>IF($E72*'설정'!$C$5*IF(('설정'!$C$22*IF($A72&gt;=31,1+'설정'!$C$14*'설정'!$E$22,1)/$D72)&lt;1,('설정'!$C$22*IF($A72&gt;=31,1+'설정'!$C$14*'설정'!$E$22,1)/$D72)^(-'설정'!$C$6),('설정'!$C$22*IF($A72&gt;=31,1+'설정'!$C$14*'설정'!$E$22,1)/$D72)^(-'설정'!$C$7))&gt;('설정'!$C$4+'설정'!$F$22+'설정'!$G$22),"실패",ROUND($E72*'설정'!$C$5*IF(('설정'!$C$22*IF($A72&gt;=31,1+'설정'!$C$14*'설정'!$E$22,1)/$D72)&lt;1,('설정'!$C$22*IF($A72&gt;=31,1+'설정'!$C$14*'설정'!$E$22,1)/$D72)^(-'설정'!$C$6),('설정'!$C$22*IF($A72&gt;=31,1+'설정'!$C$14*'설정'!$E$22,1)/$D72)^(-'설정'!$C$7)),0))</f>
        <v/>
      </c>
      <c r="I72" s="8">
        <f>IF($E72*'설정'!$C$5*IF(('설정'!$C$23*IF($A72&gt;=31,1+'설정'!$C$14*'설정'!$E$23,1)/$D72)&lt;1,('설정'!$C$23*IF($A72&gt;=31,1+'설정'!$C$14*'설정'!$E$23,1)/$D72)^(-'설정'!$C$6),('설정'!$C$23*IF($A72&gt;=31,1+'설정'!$C$14*'설정'!$E$23,1)/$D72)^(-'설정'!$C$7))&gt;('설정'!$C$4+'설정'!$F$23+'설정'!$G$23),"실패",ROUND($E72*'설정'!$C$5*IF(('설정'!$C$23*IF($A72&gt;=31,1+'설정'!$C$14*'설정'!$E$23,1)/$D72)&lt;1,('설정'!$C$23*IF($A72&gt;=31,1+'설정'!$C$14*'설정'!$E$23,1)/$D72)^(-'설정'!$C$6),('설정'!$C$23*IF($A72&gt;=31,1+'설정'!$C$14*'설정'!$E$23,1)/$D72)^(-'설정'!$C$7)),0))</f>
        <v/>
      </c>
      <c r="J72" s="8">
        <f>IF($E72*'설정'!$C$5*IF(('설정'!$C$24*IF($A72&gt;=31,1+'설정'!$C$14*'설정'!$E$24,1)/$D72)&lt;1,('설정'!$C$24*IF($A72&gt;=31,1+'설정'!$C$14*'설정'!$E$24,1)/$D72)^(-'설정'!$C$6),('설정'!$C$24*IF($A72&gt;=31,1+'설정'!$C$14*'설정'!$E$24,1)/$D72)^(-'설정'!$C$7))&gt;('설정'!$C$4+'설정'!$F$24+'설정'!$G$24),"실패",ROUND($E72*'설정'!$C$5*IF(('설정'!$C$24*IF($A72&gt;=31,1+'설정'!$C$14*'설정'!$E$24,1)/$D72)&lt;1,('설정'!$C$24*IF($A72&gt;=31,1+'설정'!$C$14*'설정'!$E$24,1)/$D72)^(-'설정'!$C$6),('설정'!$C$24*IF($A72&gt;=31,1+'설정'!$C$14*'설정'!$E$24,1)/$D72)^(-'설정'!$C$7)),0))</f>
        <v/>
      </c>
      <c r="K72" s="8">
        <f>IF($E72*'설정'!$C$5*IF(('설정'!$C$25*IF($A72&gt;=31,1+'설정'!$C$14*'설정'!$E$25,1)/$D72)&lt;1,('설정'!$C$25*IF($A72&gt;=31,1+'설정'!$C$14*'설정'!$E$25,1)/$D72)^(-'설정'!$C$6),('설정'!$C$25*IF($A72&gt;=31,1+'설정'!$C$14*'설정'!$E$25,1)/$D72)^(-'설정'!$C$7))&gt;('설정'!$C$4+'설정'!$F$25+'설정'!$G$25),"실패",ROUND($E72*'설정'!$C$5*IF(('설정'!$C$25*IF($A72&gt;=31,1+'설정'!$C$14*'설정'!$E$25,1)/$D72)&lt;1,('설정'!$C$25*IF($A72&gt;=31,1+'설정'!$C$14*'설정'!$E$25,1)/$D72)^(-'설정'!$C$6),('설정'!$C$25*IF($A72&gt;=31,1+'설정'!$C$14*'설정'!$E$25,1)/$D72)^(-'설정'!$C$7)),0))</f>
        <v/>
      </c>
      <c r="L72" s="8">
        <f>IF($E72*'설정'!$C$5*IF(('설정'!$C$26*IF($A72&gt;=31,1+'설정'!$C$14*'설정'!$E$26,1)/$D72)&lt;1,('설정'!$C$26*IF($A72&gt;=31,1+'설정'!$C$14*'설정'!$E$26,1)/$D72)^(-'설정'!$C$6),('설정'!$C$26*IF($A72&gt;=31,1+'설정'!$C$14*'설정'!$E$26,1)/$D72)^(-'설정'!$C$7))&gt;('설정'!$C$4+'설정'!$F$26+'설정'!$G$26),"실패",ROUND($E72*'설정'!$C$5*IF(('설정'!$C$26*IF($A72&gt;=31,1+'설정'!$C$14*'설정'!$E$26,1)/$D72)&lt;1,('설정'!$C$26*IF($A72&gt;=31,1+'설정'!$C$14*'설정'!$E$26,1)/$D72)^(-'설정'!$C$6),('설정'!$C$26*IF($A72&gt;=31,1+'설정'!$C$14*'설정'!$E$26,1)/$D72)^(-'설정'!$C$7)),0))</f>
        <v/>
      </c>
      <c r="M72" s="8">
        <f>IF($E72*'설정'!$C$5*IF(('설정'!$C$27*IF($A72&gt;=31,1+'설정'!$C$14*'설정'!$E$27,1)/$D72)&lt;1,('설정'!$C$27*IF($A72&gt;=31,1+'설정'!$C$14*'설정'!$E$27,1)/$D72)^(-'설정'!$C$6),('설정'!$C$27*IF($A72&gt;=31,1+'설정'!$C$14*'설정'!$E$27,1)/$D72)^(-'설정'!$C$7))&gt;('설정'!$C$4+'설정'!$F$27+'설정'!$G$27),"실패",ROUND($E72*'설정'!$C$5*IF(('설정'!$C$27*IF($A72&gt;=31,1+'설정'!$C$14*'설정'!$E$27,1)/$D72)&lt;1,('설정'!$C$27*IF($A72&gt;=31,1+'설정'!$C$14*'설정'!$E$27,1)/$D72)^(-'설정'!$C$6),('설정'!$C$27*IF($A72&gt;=31,1+'설정'!$C$14*'설정'!$E$27,1)/$D72)^(-'설정'!$C$7)),0))</f>
        <v/>
      </c>
      <c r="N72" s="8">
        <f>IF($E72*'설정'!$C$5*IF(('설정'!$C$28*IF($A72&gt;=31,1+'설정'!$C$14*'설정'!$E$28,1)/$D72)&lt;1,('설정'!$C$28*IF($A72&gt;=31,1+'설정'!$C$14*'설정'!$E$28,1)/$D72)^(-'설정'!$C$6),('설정'!$C$28*IF($A72&gt;=31,1+'설정'!$C$14*'설정'!$E$28,1)/$D72)^(-'설정'!$C$7))&gt;('설정'!$C$4+'설정'!$F$28+'설정'!$G$28),"실패",ROUND($E72*'설정'!$C$5*IF(('설정'!$C$28*IF($A72&gt;=31,1+'설정'!$C$14*'설정'!$E$28,1)/$D72)&lt;1,('설정'!$C$28*IF($A72&gt;=31,1+'설정'!$C$14*'설정'!$E$28,1)/$D72)^(-'설정'!$C$6),('설정'!$C$28*IF($A72&gt;=31,1+'설정'!$C$14*'설정'!$E$28,1)/$D72)^(-'설정'!$C$7)),0))</f>
        <v/>
      </c>
      <c r="O72" s="8">
        <f>IF($E72*'설정'!$C$5*IF(('설정'!$C$29*IF($A72&gt;=31,1+'설정'!$C$14*'설정'!$E$29,1)/$D72)&lt;1,('설정'!$C$29*IF($A72&gt;=31,1+'설정'!$C$14*'설정'!$E$29,1)/$D72)^(-'설정'!$C$6),('설정'!$C$29*IF($A72&gt;=31,1+'설정'!$C$14*'설정'!$E$29,1)/$D72)^(-'설정'!$C$7))&gt;('설정'!$C$4+'설정'!$F$29+'설정'!$G$29),"실패",ROUND($E72*'설정'!$C$5*IF(('설정'!$C$29*IF($A72&gt;=31,1+'설정'!$C$14*'설정'!$E$29,1)/$D72)&lt;1,('설정'!$C$29*IF($A72&gt;=31,1+'설정'!$C$14*'설정'!$E$29,1)/$D72)^(-'설정'!$C$6),('설정'!$C$29*IF($A72&gt;=31,1+'설정'!$C$14*'설정'!$E$29,1)/$D72)^(-'설정'!$C$7)),0))</f>
        <v/>
      </c>
      <c r="P72" s="8">
        <f>IF($E72*'설정'!$C$5*IF(('설정'!$C$30*IF($A72&gt;=31,1+'설정'!$C$14*'설정'!$E$30,1)/$D72)&lt;1,('설정'!$C$30*IF($A72&gt;=31,1+'설정'!$C$14*'설정'!$E$30,1)/$D72)^(-'설정'!$C$6),('설정'!$C$30*IF($A72&gt;=31,1+'설정'!$C$14*'설정'!$E$30,1)/$D72)^(-'설정'!$C$7))&gt;('설정'!$C$4+'설정'!$F$30+'설정'!$G$30),"실패",ROUND($E72*'설정'!$C$5*IF(('설정'!$C$30*IF($A72&gt;=31,1+'설정'!$C$14*'설정'!$E$30,1)/$D72)&lt;1,('설정'!$C$30*IF($A72&gt;=31,1+'설정'!$C$14*'설정'!$E$30,1)/$D72)^(-'설정'!$C$6),('설정'!$C$30*IF($A72&gt;=31,1+'설정'!$C$14*'설정'!$E$30,1)/$D72)^(-'설정'!$C$7)),0))</f>
        <v/>
      </c>
      <c r="Q72" s="8">
        <f>IF($E72*'설정'!$C$5*IF(('설정'!$C$31*IF($A72&gt;=31,1+'설정'!$C$14*'설정'!$E$31,1)/$D72)&lt;1,('설정'!$C$31*IF($A72&gt;=31,1+'설정'!$C$14*'설정'!$E$31,1)/$D72)^(-'설정'!$C$6),('설정'!$C$31*IF($A72&gt;=31,1+'설정'!$C$14*'설정'!$E$31,1)/$D72)^(-'설정'!$C$7))&gt;('설정'!$C$4+'설정'!$F$31+'설정'!$G$31),"실패",ROUND($E72*'설정'!$C$5*IF(('설정'!$C$31*IF($A72&gt;=31,1+'설정'!$C$14*'설정'!$E$31,1)/$D72)&lt;1,('설정'!$C$31*IF($A72&gt;=31,1+'설정'!$C$14*'설정'!$E$31,1)/$D72)^(-'설정'!$C$6),('설정'!$C$31*IF($A72&gt;=31,1+'설정'!$C$14*'설정'!$E$31,1)/$D72)^(-'설정'!$C$7)),0))</f>
        <v/>
      </c>
      <c r="R72" s="8">
        <f>IF($E72*'설정'!$C$5*IF(('설정'!$C$32*IF($A72&gt;=31,1+'설정'!$C$14*'설정'!$E$32,1)/$D72)&lt;1,('설정'!$C$32*IF($A72&gt;=31,1+'설정'!$C$14*'설정'!$E$32,1)/$D72)^(-'설정'!$C$6),('설정'!$C$32*IF($A72&gt;=31,1+'설정'!$C$14*'설정'!$E$32,1)/$D72)^(-'설정'!$C$7))&gt;('설정'!$C$4+'설정'!$F$32+'설정'!$G$32),"실패",ROUND($E72*'설정'!$C$5*IF(('설정'!$C$32*IF($A72&gt;=31,1+'설정'!$C$14*'설정'!$E$32,1)/$D72)&lt;1,('설정'!$C$32*IF($A72&gt;=31,1+'설정'!$C$14*'설정'!$E$32,1)/$D72)^(-'설정'!$C$6),('설정'!$C$32*IF($A72&gt;=31,1+'설정'!$C$14*'설정'!$E$32,1)/$D72)^(-'설정'!$C$7)),0))</f>
        <v/>
      </c>
      <c r="S72" s="8">
        <f>IF($E72*'설정'!$C$5*IF(('설정'!$C$33*IF($A72&gt;=31,1+'설정'!$C$14*'설정'!$E$33,1)/$D72)&lt;1,('설정'!$C$33*IF($A72&gt;=31,1+'설정'!$C$14*'설정'!$E$33,1)/$D72)^(-'설정'!$C$6),('설정'!$C$33*IF($A72&gt;=31,1+'설정'!$C$14*'설정'!$E$33,1)/$D72)^(-'설정'!$C$7))&gt;('설정'!$C$4+'설정'!$F$33+'설정'!$G$33),"실패",ROUND($E72*'설정'!$C$5*IF(('설정'!$C$33*IF($A72&gt;=31,1+'설정'!$C$14*'설정'!$E$33,1)/$D72)&lt;1,('설정'!$C$33*IF($A72&gt;=31,1+'설정'!$C$14*'설정'!$E$33,1)/$D72)^(-'설정'!$C$6),('설정'!$C$33*IF($A72&gt;=31,1+'설정'!$C$14*'설정'!$E$33,1)/$D72)^(-'설정'!$C$7)),0))</f>
        <v/>
      </c>
      <c r="T72" s="8">
        <f>IF($E72*'설정'!$C$5*IF(('설정'!$C$34*IF($A72&gt;=31,1+'설정'!$C$14*'설정'!$E$34,1)/$D72)&lt;1,('설정'!$C$34*IF($A72&gt;=31,1+'설정'!$C$14*'설정'!$E$34,1)/$D72)^(-'설정'!$C$6),('설정'!$C$34*IF($A72&gt;=31,1+'설정'!$C$14*'설정'!$E$34,1)/$D72)^(-'설정'!$C$7))&gt;('설정'!$C$4+'설정'!$F$34+'설정'!$G$34),"실패",ROUND($E72*'설정'!$C$5*IF(('설정'!$C$34*IF($A72&gt;=31,1+'설정'!$C$14*'설정'!$E$34,1)/$D72)&lt;1,('설정'!$C$34*IF($A72&gt;=31,1+'설정'!$C$14*'설정'!$E$34,1)/$D72)^(-'설정'!$C$6),('설정'!$C$34*IF($A72&gt;=31,1+'설정'!$C$14*'설정'!$E$34,1)/$D72)^(-'설정'!$C$7)),0))</f>
        <v/>
      </c>
      <c r="U72" s="8">
        <f>IF($E72*'설정'!$C$5*IF(('설정'!$C$35*IF($A72&gt;=31,1+'설정'!$C$14*'설정'!$E$35,1)/$D72)&lt;1,('설정'!$C$35*IF($A72&gt;=31,1+'설정'!$C$14*'설정'!$E$35,1)/$D72)^(-'설정'!$C$6),('설정'!$C$35*IF($A72&gt;=31,1+'설정'!$C$14*'설정'!$E$35,1)/$D72)^(-'설정'!$C$7))&gt;('설정'!$C$4+'설정'!$F$35+'설정'!$G$35),"실패",ROUND($E72*'설정'!$C$5*IF(('설정'!$C$35*IF($A72&gt;=31,1+'설정'!$C$14*'설정'!$E$35,1)/$D72)&lt;1,('설정'!$C$35*IF($A72&gt;=31,1+'설정'!$C$14*'설정'!$E$35,1)/$D72)^(-'설정'!$C$6),('설정'!$C$35*IF($A72&gt;=31,1+'설정'!$C$14*'설정'!$E$35,1)/$D72)^(-'설정'!$C$7)),0))</f>
        <v/>
      </c>
      <c r="V72" s="8">
        <f>IF($E72*'설정'!$C$5*IF(('설정'!$C$36*IF($A72&gt;=31,1+'설정'!$C$14*'설정'!$E$36,1)/$D72)&lt;1,('설정'!$C$36*IF($A72&gt;=31,1+'설정'!$C$14*'설정'!$E$36,1)/$D72)^(-'설정'!$C$6),('설정'!$C$36*IF($A72&gt;=31,1+'설정'!$C$14*'설정'!$E$36,1)/$D72)^(-'설정'!$C$7))&gt;('설정'!$C$4+'설정'!$F$36+'설정'!$G$36),"실패",ROUND($E72*'설정'!$C$5*IF(('설정'!$C$36*IF($A72&gt;=31,1+'설정'!$C$14*'설정'!$E$36,1)/$D72)&lt;1,('설정'!$C$36*IF($A72&gt;=31,1+'설정'!$C$14*'설정'!$E$36,1)/$D72)^(-'설정'!$C$6),('설정'!$C$36*IF($A72&gt;=31,1+'설정'!$C$14*'설정'!$E$36,1)/$D72)^(-'설정'!$C$7)),0))</f>
        <v/>
      </c>
      <c r="W72" s="8">
        <f>IF($E72*'설정'!$C$5*IF(('설정'!$C$37*IF($A72&gt;=31,1+'설정'!$C$14*'설정'!$E$37,1)/$D72)&lt;1,('설정'!$C$37*IF($A72&gt;=31,1+'설정'!$C$14*'설정'!$E$37,1)/$D72)^(-'설정'!$C$6),('설정'!$C$37*IF($A72&gt;=31,1+'설정'!$C$14*'설정'!$E$37,1)/$D72)^(-'설정'!$C$7))&gt;('설정'!$C$4+'설정'!$F$37+'설정'!$G$37),"실패",ROUND($E72*'설정'!$C$5*IF(('설정'!$C$37*IF($A72&gt;=31,1+'설정'!$C$14*'설정'!$E$37,1)/$D72)&lt;1,('설정'!$C$37*IF($A72&gt;=31,1+'설정'!$C$14*'설정'!$E$37,1)/$D72)^(-'설정'!$C$6),('설정'!$C$37*IF($A72&gt;=31,1+'설정'!$C$14*'설정'!$E$37,1)/$D72)^(-'설정'!$C$7)),0))</f>
        <v/>
      </c>
    </row>
    <row r="73">
      <c r="A73" t="n">
        <v>71</v>
      </c>
      <c r="B73" t="inlineStr">
        <is>
          <t>쉬움</t>
        </is>
      </c>
      <c r="C73" t="inlineStr"/>
      <c r="D73" s="6" t="n">
        <v>12000000</v>
      </c>
      <c r="E73" t="n">
        <v>72</v>
      </c>
      <c r="F73" s="6" t="n">
        <v>240000</v>
      </c>
      <c r="G73" t="n">
        <v>71</v>
      </c>
      <c r="H73" s="8">
        <f>IF($E73*'설정'!$C$5*IF(('설정'!$C$22*IF($A73&gt;=31,1+'설정'!$C$14*'설정'!$E$22,1)/$D73)&lt;1,('설정'!$C$22*IF($A73&gt;=31,1+'설정'!$C$14*'설정'!$E$22,1)/$D73)^(-'설정'!$C$6),('설정'!$C$22*IF($A73&gt;=31,1+'설정'!$C$14*'설정'!$E$22,1)/$D73)^(-'설정'!$C$7))&gt;('설정'!$C$4+'설정'!$F$22),"실패",ROUND($E73*'설정'!$C$5*IF(('설정'!$C$22*IF($A73&gt;=31,1+'설정'!$C$14*'설정'!$E$22,1)/$D73)&lt;1,('설정'!$C$22*IF($A73&gt;=31,1+'설정'!$C$14*'설정'!$E$22,1)/$D73)^(-'설정'!$C$6),('설정'!$C$22*IF($A73&gt;=31,1+'설정'!$C$14*'설정'!$E$22,1)/$D73)^(-'설정'!$C$7)),0))</f>
        <v/>
      </c>
      <c r="I73" s="8">
        <f>IF($E73*'설정'!$C$5*IF(('설정'!$C$23*IF($A73&gt;=31,1+'설정'!$C$14*'설정'!$E$23,1)/$D73)&lt;1,('설정'!$C$23*IF($A73&gt;=31,1+'설정'!$C$14*'설정'!$E$23,1)/$D73)^(-'설정'!$C$6),('설정'!$C$23*IF($A73&gt;=31,1+'설정'!$C$14*'설정'!$E$23,1)/$D73)^(-'설정'!$C$7))&gt;('설정'!$C$4+'설정'!$F$23),"실패",ROUND($E73*'설정'!$C$5*IF(('설정'!$C$23*IF($A73&gt;=31,1+'설정'!$C$14*'설정'!$E$23,1)/$D73)&lt;1,('설정'!$C$23*IF($A73&gt;=31,1+'설정'!$C$14*'설정'!$E$23,1)/$D73)^(-'설정'!$C$6),('설정'!$C$23*IF($A73&gt;=31,1+'설정'!$C$14*'설정'!$E$23,1)/$D73)^(-'설정'!$C$7)),0))</f>
        <v/>
      </c>
      <c r="J73" s="8">
        <f>IF($E73*'설정'!$C$5*IF(('설정'!$C$24*IF($A73&gt;=31,1+'설정'!$C$14*'설정'!$E$24,1)/$D73)&lt;1,('설정'!$C$24*IF($A73&gt;=31,1+'설정'!$C$14*'설정'!$E$24,1)/$D73)^(-'설정'!$C$6),('설정'!$C$24*IF($A73&gt;=31,1+'설정'!$C$14*'설정'!$E$24,1)/$D73)^(-'설정'!$C$7))&gt;('설정'!$C$4+'설정'!$F$24),"실패",ROUND($E73*'설정'!$C$5*IF(('설정'!$C$24*IF($A73&gt;=31,1+'설정'!$C$14*'설정'!$E$24,1)/$D73)&lt;1,('설정'!$C$24*IF($A73&gt;=31,1+'설정'!$C$14*'설정'!$E$24,1)/$D73)^(-'설정'!$C$6),('설정'!$C$24*IF($A73&gt;=31,1+'설정'!$C$14*'설정'!$E$24,1)/$D73)^(-'설정'!$C$7)),0))</f>
        <v/>
      </c>
      <c r="K73" s="8">
        <f>IF($E73*'설정'!$C$5*IF(('설정'!$C$25*IF($A73&gt;=31,1+'설정'!$C$14*'설정'!$E$25,1)/$D73)&lt;1,('설정'!$C$25*IF($A73&gt;=31,1+'설정'!$C$14*'설정'!$E$25,1)/$D73)^(-'설정'!$C$6),('설정'!$C$25*IF($A73&gt;=31,1+'설정'!$C$14*'설정'!$E$25,1)/$D73)^(-'설정'!$C$7))&gt;('설정'!$C$4+'설정'!$F$25),"실패",ROUND($E73*'설정'!$C$5*IF(('설정'!$C$25*IF($A73&gt;=31,1+'설정'!$C$14*'설정'!$E$25,1)/$D73)&lt;1,('설정'!$C$25*IF($A73&gt;=31,1+'설정'!$C$14*'설정'!$E$25,1)/$D73)^(-'설정'!$C$6),('설정'!$C$25*IF($A73&gt;=31,1+'설정'!$C$14*'설정'!$E$25,1)/$D73)^(-'설정'!$C$7)),0))</f>
        <v/>
      </c>
      <c r="L73" s="8">
        <f>IF($E73*'설정'!$C$5*IF(('설정'!$C$26*IF($A73&gt;=31,1+'설정'!$C$14*'설정'!$E$26,1)/$D73)&lt;1,('설정'!$C$26*IF($A73&gt;=31,1+'설정'!$C$14*'설정'!$E$26,1)/$D73)^(-'설정'!$C$6),('설정'!$C$26*IF($A73&gt;=31,1+'설정'!$C$14*'설정'!$E$26,1)/$D73)^(-'설정'!$C$7))&gt;('설정'!$C$4+'설정'!$F$26),"실패",ROUND($E73*'설정'!$C$5*IF(('설정'!$C$26*IF($A73&gt;=31,1+'설정'!$C$14*'설정'!$E$26,1)/$D73)&lt;1,('설정'!$C$26*IF($A73&gt;=31,1+'설정'!$C$14*'설정'!$E$26,1)/$D73)^(-'설정'!$C$6),('설정'!$C$26*IF($A73&gt;=31,1+'설정'!$C$14*'설정'!$E$26,1)/$D73)^(-'설정'!$C$7)),0))</f>
        <v/>
      </c>
      <c r="M73" s="8">
        <f>IF($E73*'설정'!$C$5*IF(('설정'!$C$27*IF($A73&gt;=31,1+'설정'!$C$14*'설정'!$E$27,1)/$D73)&lt;1,('설정'!$C$27*IF($A73&gt;=31,1+'설정'!$C$14*'설정'!$E$27,1)/$D73)^(-'설정'!$C$6),('설정'!$C$27*IF($A73&gt;=31,1+'설정'!$C$14*'설정'!$E$27,1)/$D73)^(-'설정'!$C$7))&gt;('설정'!$C$4+'설정'!$F$27),"실패",ROUND($E73*'설정'!$C$5*IF(('설정'!$C$27*IF($A73&gt;=31,1+'설정'!$C$14*'설정'!$E$27,1)/$D73)&lt;1,('설정'!$C$27*IF($A73&gt;=31,1+'설정'!$C$14*'설정'!$E$27,1)/$D73)^(-'설정'!$C$6),('설정'!$C$27*IF($A73&gt;=31,1+'설정'!$C$14*'설정'!$E$27,1)/$D73)^(-'설정'!$C$7)),0))</f>
        <v/>
      </c>
      <c r="N73" s="8">
        <f>IF($E73*'설정'!$C$5*IF(('설정'!$C$28*IF($A73&gt;=31,1+'설정'!$C$14*'설정'!$E$28,1)/$D73)&lt;1,('설정'!$C$28*IF($A73&gt;=31,1+'설정'!$C$14*'설정'!$E$28,1)/$D73)^(-'설정'!$C$6),('설정'!$C$28*IF($A73&gt;=31,1+'설정'!$C$14*'설정'!$E$28,1)/$D73)^(-'설정'!$C$7))&gt;('설정'!$C$4+'설정'!$F$28),"실패",ROUND($E73*'설정'!$C$5*IF(('설정'!$C$28*IF($A73&gt;=31,1+'설정'!$C$14*'설정'!$E$28,1)/$D73)&lt;1,('설정'!$C$28*IF($A73&gt;=31,1+'설정'!$C$14*'설정'!$E$28,1)/$D73)^(-'설정'!$C$6),('설정'!$C$28*IF($A73&gt;=31,1+'설정'!$C$14*'설정'!$E$28,1)/$D73)^(-'설정'!$C$7)),0))</f>
        <v/>
      </c>
      <c r="O73" s="8">
        <f>IF($E73*'설정'!$C$5*IF(('설정'!$C$29*IF($A73&gt;=31,1+'설정'!$C$14*'설정'!$E$29,1)/$D73)&lt;1,('설정'!$C$29*IF($A73&gt;=31,1+'설정'!$C$14*'설정'!$E$29,1)/$D73)^(-'설정'!$C$6),('설정'!$C$29*IF($A73&gt;=31,1+'설정'!$C$14*'설정'!$E$29,1)/$D73)^(-'설정'!$C$7))&gt;('설정'!$C$4+'설정'!$F$29),"실패",ROUND($E73*'설정'!$C$5*IF(('설정'!$C$29*IF($A73&gt;=31,1+'설정'!$C$14*'설정'!$E$29,1)/$D73)&lt;1,('설정'!$C$29*IF($A73&gt;=31,1+'설정'!$C$14*'설정'!$E$29,1)/$D73)^(-'설정'!$C$6),('설정'!$C$29*IF($A73&gt;=31,1+'설정'!$C$14*'설정'!$E$29,1)/$D73)^(-'설정'!$C$7)),0))</f>
        <v/>
      </c>
      <c r="P73" s="8">
        <f>IF($E73*'설정'!$C$5*IF(('설정'!$C$30*IF($A73&gt;=31,1+'설정'!$C$14*'설정'!$E$30,1)/$D73)&lt;1,('설정'!$C$30*IF($A73&gt;=31,1+'설정'!$C$14*'설정'!$E$30,1)/$D73)^(-'설정'!$C$6),('설정'!$C$30*IF($A73&gt;=31,1+'설정'!$C$14*'설정'!$E$30,1)/$D73)^(-'설정'!$C$7))&gt;('설정'!$C$4+'설정'!$F$30),"실패",ROUND($E73*'설정'!$C$5*IF(('설정'!$C$30*IF($A73&gt;=31,1+'설정'!$C$14*'설정'!$E$30,1)/$D73)&lt;1,('설정'!$C$30*IF($A73&gt;=31,1+'설정'!$C$14*'설정'!$E$30,1)/$D73)^(-'설정'!$C$6),('설정'!$C$30*IF($A73&gt;=31,1+'설정'!$C$14*'설정'!$E$30,1)/$D73)^(-'설정'!$C$7)),0))</f>
        <v/>
      </c>
      <c r="Q73" s="8">
        <f>IF($E73*'설정'!$C$5*IF(('설정'!$C$31*IF($A73&gt;=31,1+'설정'!$C$14*'설정'!$E$31,1)/$D73)&lt;1,('설정'!$C$31*IF($A73&gt;=31,1+'설정'!$C$14*'설정'!$E$31,1)/$D73)^(-'설정'!$C$6),('설정'!$C$31*IF($A73&gt;=31,1+'설정'!$C$14*'설정'!$E$31,1)/$D73)^(-'설정'!$C$7))&gt;('설정'!$C$4+'설정'!$F$31),"실패",ROUND($E73*'설정'!$C$5*IF(('설정'!$C$31*IF($A73&gt;=31,1+'설정'!$C$14*'설정'!$E$31,1)/$D73)&lt;1,('설정'!$C$31*IF($A73&gt;=31,1+'설정'!$C$14*'설정'!$E$31,1)/$D73)^(-'설정'!$C$6),('설정'!$C$31*IF($A73&gt;=31,1+'설정'!$C$14*'설정'!$E$31,1)/$D73)^(-'설정'!$C$7)),0))</f>
        <v/>
      </c>
      <c r="R73" s="8">
        <f>IF($E73*'설정'!$C$5*IF(('설정'!$C$32*IF($A73&gt;=31,1+'설정'!$C$14*'설정'!$E$32,1)/$D73)&lt;1,('설정'!$C$32*IF($A73&gt;=31,1+'설정'!$C$14*'설정'!$E$32,1)/$D73)^(-'설정'!$C$6),('설정'!$C$32*IF($A73&gt;=31,1+'설정'!$C$14*'설정'!$E$32,1)/$D73)^(-'설정'!$C$7))&gt;('설정'!$C$4+'설정'!$F$32),"실패",ROUND($E73*'설정'!$C$5*IF(('설정'!$C$32*IF($A73&gt;=31,1+'설정'!$C$14*'설정'!$E$32,1)/$D73)&lt;1,('설정'!$C$32*IF($A73&gt;=31,1+'설정'!$C$14*'설정'!$E$32,1)/$D73)^(-'설정'!$C$6),('설정'!$C$32*IF($A73&gt;=31,1+'설정'!$C$14*'설정'!$E$32,1)/$D73)^(-'설정'!$C$7)),0))</f>
        <v/>
      </c>
      <c r="S73" s="8">
        <f>IF($E73*'설정'!$C$5*IF(('설정'!$C$33*IF($A73&gt;=31,1+'설정'!$C$14*'설정'!$E$33,1)/$D73)&lt;1,('설정'!$C$33*IF($A73&gt;=31,1+'설정'!$C$14*'설정'!$E$33,1)/$D73)^(-'설정'!$C$6),('설정'!$C$33*IF($A73&gt;=31,1+'설정'!$C$14*'설정'!$E$33,1)/$D73)^(-'설정'!$C$7))&gt;('설정'!$C$4+'설정'!$F$33),"실패",ROUND($E73*'설정'!$C$5*IF(('설정'!$C$33*IF($A73&gt;=31,1+'설정'!$C$14*'설정'!$E$33,1)/$D73)&lt;1,('설정'!$C$33*IF($A73&gt;=31,1+'설정'!$C$14*'설정'!$E$33,1)/$D73)^(-'설정'!$C$6),('설정'!$C$33*IF($A73&gt;=31,1+'설정'!$C$14*'설정'!$E$33,1)/$D73)^(-'설정'!$C$7)),0))</f>
        <v/>
      </c>
      <c r="T73" s="8">
        <f>IF($E73*'설정'!$C$5*IF(('설정'!$C$34*IF($A73&gt;=31,1+'설정'!$C$14*'설정'!$E$34,1)/$D73)&lt;1,('설정'!$C$34*IF($A73&gt;=31,1+'설정'!$C$14*'설정'!$E$34,1)/$D73)^(-'설정'!$C$6),('설정'!$C$34*IF($A73&gt;=31,1+'설정'!$C$14*'설정'!$E$34,1)/$D73)^(-'설정'!$C$7))&gt;('설정'!$C$4+'설정'!$F$34),"실패",ROUND($E73*'설정'!$C$5*IF(('설정'!$C$34*IF($A73&gt;=31,1+'설정'!$C$14*'설정'!$E$34,1)/$D73)&lt;1,('설정'!$C$34*IF($A73&gt;=31,1+'설정'!$C$14*'설정'!$E$34,1)/$D73)^(-'설정'!$C$6),('설정'!$C$34*IF($A73&gt;=31,1+'설정'!$C$14*'설정'!$E$34,1)/$D73)^(-'설정'!$C$7)),0))</f>
        <v/>
      </c>
      <c r="U73" s="8">
        <f>IF($E73*'설정'!$C$5*IF(('설정'!$C$35*IF($A73&gt;=31,1+'설정'!$C$14*'설정'!$E$35,1)/$D73)&lt;1,('설정'!$C$35*IF($A73&gt;=31,1+'설정'!$C$14*'설정'!$E$35,1)/$D73)^(-'설정'!$C$6),('설정'!$C$35*IF($A73&gt;=31,1+'설정'!$C$14*'설정'!$E$35,1)/$D73)^(-'설정'!$C$7))&gt;('설정'!$C$4+'설정'!$F$35),"실패",ROUND($E73*'설정'!$C$5*IF(('설정'!$C$35*IF($A73&gt;=31,1+'설정'!$C$14*'설정'!$E$35,1)/$D73)&lt;1,('설정'!$C$35*IF($A73&gt;=31,1+'설정'!$C$14*'설정'!$E$35,1)/$D73)^(-'설정'!$C$6),('설정'!$C$35*IF($A73&gt;=31,1+'설정'!$C$14*'설정'!$E$35,1)/$D73)^(-'설정'!$C$7)),0))</f>
        <v/>
      </c>
      <c r="V73" s="8">
        <f>IF($E73*'설정'!$C$5*IF(('설정'!$C$36*IF($A73&gt;=31,1+'설정'!$C$14*'설정'!$E$36,1)/$D73)&lt;1,('설정'!$C$36*IF($A73&gt;=31,1+'설정'!$C$14*'설정'!$E$36,1)/$D73)^(-'설정'!$C$6),('설정'!$C$36*IF($A73&gt;=31,1+'설정'!$C$14*'설정'!$E$36,1)/$D73)^(-'설정'!$C$7))&gt;('설정'!$C$4+'설정'!$F$36),"실패",ROUND($E73*'설정'!$C$5*IF(('설정'!$C$36*IF($A73&gt;=31,1+'설정'!$C$14*'설정'!$E$36,1)/$D73)&lt;1,('설정'!$C$36*IF($A73&gt;=31,1+'설정'!$C$14*'설정'!$E$36,1)/$D73)^(-'설정'!$C$6),('설정'!$C$36*IF($A73&gt;=31,1+'설정'!$C$14*'설정'!$E$36,1)/$D73)^(-'설정'!$C$7)),0))</f>
        <v/>
      </c>
      <c r="W73" s="8">
        <f>IF($E73*'설정'!$C$5*IF(('설정'!$C$37*IF($A73&gt;=31,1+'설정'!$C$14*'설정'!$E$37,1)/$D73)&lt;1,('설정'!$C$37*IF($A73&gt;=31,1+'설정'!$C$14*'설정'!$E$37,1)/$D73)^(-'설정'!$C$6),('설정'!$C$37*IF($A73&gt;=31,1+'설정'!$C$14*'설정'!$E$37,1)/$D73)^(-'설정'!$C$7))&gt;('설정'!$C$4+'설정'!$F$37),"실패",ROUND($E73*'설정'!$C$5*IF(('설정'!$C$37*IF($A73&gt;=31,1+'설정'!$C$14*'설정'!$E$37,1)/$D73)&lt;1,('설정'!$C$37*IF($A73&gt;=31,1+'설정'!$C$14*'설정'!$E$37,1)/$D73)^(-'설정'!$C$6),('설정'!$C$37*IF($A73&gt;=31,1+'설정'!$C$14*'설정'!$E$37,1)/$D73)^(-'설정'!$C$7)),0))</f>
        <v/>
      </c>
    </row>
    <row r="74">
      <c r="A74" t="n">
        <v>72</v>
      </c>
      <c r="B74" t="inlineStr">
        <is>
          <t>쉬움</t>
        </is>
      </c>
      <c r="C74" t="inlineStr"/>
      <c r="D74" s="6" t="n">
        <v>12700000</v>
      </c>
      <c r="E74" t="n">
        <v>72</v>
      </c>
      <c r="F74" s="6" t="n">
        <v>254000</v>
      </c>
      <c r="G74" t="n">
        <v>71</v>
      </c>
      <c r="H74" s="8">
        <f>IF($E74*'설정'!$C$5*IF(('설정'!$C$22*IF($A74&gt;=31,1+'설정'!$C$14*'설정'!$E$22,1)/$D74)&lt;1,('설정'!$C$22*IF($A74&gt;=31,1+'설정'!$C$14*'설정'!$E$22,1)/$D74)^(-'설정'!$C$6),('설정'!$C$22*IF($A74&gt;=31,1+'설정'!$C$14*'설정'!$E$22,1)/$D74)^(-'설정'!$C$7))&gt;('설정'!$C$4+'설정'!$F$22),"실패",ROUND($E74*'설정'!$C$5*IF(('설정'!$C$22*IF($A74&gt;=31,1+'설정'!$C$14*'설정'!$E$22,1)/$D74)&lt;1,('설정'!$C$22*IF($A74&gt;=31,1+'설정'!$C$14*'설정'!$E$22,1)/$D74)^(-'설정'!$C$6),('설정'!$C$22*IF($A74&gt;=31,1+'설정'!$C$14*'설정'!$E$22,1)/$D74)^(-'설정'!$C$7)),0))</f>
        <v/>
      </c>
      <c r="I74" s="8">
        <f>IF($E74*'설정'!$C$5*IF(('설정'!$C$23*IF($A74&gt;=31,1+'설정'!$C$14*'설정'!$E$23,1)/$D74)&lt;1,('설정'!$C$23*IF($A74&gt;=31,1+'설정'!$C$14*'설정'!$E$23,1)/$D74)^(-'설정'!$C$6),('설정'!$C$23*IF($A74&gt;=31,1+'설정'!$C$14*'설정'!$E$23,1)/$D74)^(-'설정'!$C$7))&gt;('설정'!$C$4+'설정'!$F$23),"실패",ROUND($E74*'설정'!$C$5*IF(('설정'!$C$23*IF($A74&gt;=31,1+'설정'!$C$14*'설정'!$E$23,1)/$D74)&lt;1,('설정'!$C$23*IF($A74&gt;=31,1+'설정'!$C$14*'설정'!$E$23,1)/$D74)^(-'설정'!$C$6),('설정'!$C$23*IF($A74&gt;=31,1+'설정'!$C$14*'설정'!$E$23,1)/$D74)^(-'설정'!$C$7)),0))</f>
        <v/>
      </c>
      <c r="J74" s="8">
        <f>IF($E74*'설정'!$C$5*IF(('설정'!$C$24*IF($A74&gt;=31,1+'설정'!$C$14*'설정'!$E$24,1)/$D74)&lt;1,('설정'!$C$24*IF($A74&gt;=31,1+'설정'!$C$14*'설정'!$E$24,1)/$D74)^(-'설정'!$C$6),('설정'!$C$24*IF($A74&gt;=31,1+'설정'!$C$14*'설정'!$E$24,1)/$D74)^(-'설정'!$C$7))&gt;('설정'!$C$4+'설정'!$F$24),"실패",ROUND($E74*'설정'!$C$5*IF(('설정'!$C$24*IF($A74&gt;=31,1+'설정'!$C$14*'설정'!$E$24,1)/$D74)&lt;1,('설정'!$C$24*IF($A74&gt;=31,1+'설정'!$C$14*'설정'!$E$24,1)/$D74)^(-'설정'!$C$6),('설정'!$C$24*IF($A74&gt;=31,1+'설정'!$C$14*'설정'!$E$24,1)/$D74)^(-'설정'!$C$7)),0))</f>
        <v/>
      </c>
      <c r="K74" s="8">
        <f>IF($E74*'설정'!$C$5*IF(('설정'!$C$25*IF($A74&gt;=31,1+'설정'!$C$14*'설정'!$E$25,1)/$D74)&lt;1,('설정'!$C$25*IF($A74&gt;=31,1+'설정'!$C$14*'설정'!$E$25,1)/$D74)^(-'설정'!$C$6),('설정'!$C$25*IF($A74&gt;=31,1+'설정'!$C$14*'설정'!$E$25,1)/$D74)^(-'설정'!$C$7))&gt;('설정'!$C$4+'설정'!$F$25),"실패",ROUND($E74*'설정'!$C$5*IF(('설정'!$C$25*IF($A74&gt;=31,1+'설정'!$C$14*'설정'!$E$25,1)/$D74)&lt;1,('설정'!$C$25*IF($A74&gt;=31,1+'설정'!$C$14*'설정'!$E$25,1)/$D74)^(-'설정'!$C$6),('설정'!$C$25*IF($A74&gt;=31,1+'설정'!$C$14*'설정'!$E$25,1)/$D74)^(-'설정'!$C$7)),0))</f>
        <v/>
      </c>
      <c r="L74" s="8">
        <f>IF($E74*'설정'!$C$5*IF(('설정'!$C$26*IF($A74&gt;=31,1+'설정'!$C$14*'설정'!$E$26,1)/$D74)&lt;1,('설정'!$C$26*IF($A74&gt;=31,1+'설정'!$C$14*'설정'!$E$26,1)/$D74)^(-'설정'!$C$6),('설정'!$C$26*IF($A74&gt;=31,1+'설정'!$C$14*'설정'!$E$26,1)/$D74)^(-'설정'!$C$7))&gt;('설정'!$C$4+'설정'!$F$26),"실패",ROUND($E74*'설정'!$C$5*IF(('설정'!$C$26*IF($A74&gt;=31,1+'설정'!$C$14*'설정'!$E$26,1)/$D74)&lt;1,('설정'!$C$26*IF($A74&gt;=31,1+'설정'!$C$14*'설정'!$E$26,1)/$D74)^(-'설정'!$C$6),('설정'!$C$26*IF($A74&gt;=31,1+'설정'!$C$14*'설정'!$E$26,1)/$D74)^(-'설정'!$C$7)),0))</f>
        <v/>
      </c>
      <c r="M74" s="8">
        <f>IF($E74*'설정'!$C$5*IF(('설정'!$C$27*IF($A74&gt;=31,1+'설정'!$C$14*'설정'!$E$27,1)/$D74)&lt;1,('설정'!$C$27*IF($A74&gt;=31,1+'설정'!$C$14*'설정'!$E$27,1)/$D74)^(-'설정'!$C$6),('설정'!$C$27*IF($A74&gt;=31,1+'설정'!$C$14*'설정'!$E$27,1)/$D74)^(-'설정'!$C$7))&gt;('설정'!$C$4+'설정'!$F$27),"실패",ROUND($E74*'설정'!$C$5*IF(('설정'!$C$27*IF($A74&gt;=31,1+'설정'!$C$14*'설정'!$E$27,1)/$D74)&lt;1,('설정'!$C$27*IF($A74&gt;=31,1+'설정'!$C$14*'설정'!$E$27,1)/$D74)^(-'설정'!$C$6),('설정'!$C$27*IF($A74&gt;=31,1+'설정'!$C$14*'설정'!$E$27,1)/$D74)^(-'설정'!$C$7)),0))</f>
        <v/>
      </c>
      <c r="N74" s="8">
        <f>IF($E74*'설정'!$C$5*IF(('설정'!$C$28*IF($A74&gt;=31,1+'설정'!$C$14*'설정'!$E$28,1)/$D74)&lt;1,('설정'!$C$28*IF($A74&gt;=31,1+'설정'!$C$14*'설정'!$E$28,1)/$D74)^(-'설정'!$C$6),('설정'!$C$28*IF($A74&gt;=31,1+'설정'!$C$14*'설정'!$E$28,1)/$D74)^(-'설정'!$C$7))&gt;('설정'!$C$4+'설정'!$F$28),"실패",ROUND($E74*'설정'!$C$5*IF(('설정'!$C$28*IF($A74&gt;=31,1+'설정'!$C$14*'설정'!$E$28,1)/$D74)&lt;1,('설정'!$C$28*IF($A74&gt;=31,1+'설정'!$C$14*'설정'!$E$28,1)/$D74)^(-'설정'!$C$6),('설정'!$C$28*IF($A74&gt;=31,1+'설정'!$C$14*'설정'!$E$28,1)/$D74)^(-'설정'!$C$7)),0))</f>
        <v/>
      </c>
      <c r="O74" s="8">
        <f>IF($E74*'설정'!$C$5*IF(('설정'!$C$29*IF($A74&gt;=31,1+'설정'!$C$14*'설정'!$E$29,1)/$D74)&lt;1,('설정'!$C$29*IF($A74&gt;=31,1+'설정'!$C$14*'설정'!$E$29,1)/$D74)^(-'설정'!$C$6),('설정'!$C$29*IF($A74&gt;=31,1+'설정'!$C$14*'설정'!$E$29,1)/$D74)^(-'설정'!$C$7))&gt;('설정'!$C$4+'설정'!$F$29),"실패",ROUND($E74*'설정'!$C$5*IF(('설정'!$C$29*IF($A74&gt;=31,1+'설정'!$C$14*'설정'!$E$29,1)/$D74)&lt;1,('설정'!$C$29*IF($A74&gt;=31,1+'설정'!$C$14*'설정'!$E$29,1)/$D74)^(-'설정'!$C$6),('설정'!$C$29*IF($A74&gt;=31,1+'설정'!$C$14*'설정'!$E$29,1)/$D74)^(-'설정'!$C$7)),0))</f>
        <v/>
      </c>
      <c r="P74" s="8">
        <f>IF($E74*'설정'!$C$5*IF(('설정'!$C$30*IF($A74&gt;=31,1+'설정'!$C$14*'설정'!$E$30,1)/$D74)&lt;1,('설정'!$C$30*IF($A74&gt;=31,1+'설정'!$C$14*'설정'!$E$30,1)/$D74)^(-'설정'!$C$6),('설정'!$C$30*IF($A74&gt;=31,1+'설정'!$C$14*'설정'!$E$30,1)/$D74)^(-'설정'!$C$7))&gt;('설정'!$C$4+'설정'!$F$30),"실패",ROUND($E74*'설정'!$C$5*IF(('설정'!$C$30*IF($A74&gt;=31,1+'설정'!$C$14*'설정'!$E$30,1)/$D74)&lt;1,('설정'!$C$30*IF($A74&gt;=31,1+'설정'!$C$14*'설정'!$E$30,1)/$D74)^(-'설정'!$C$6),('설정'!$C$30*IF($A74&gt;=31,1+'설정'!$C$14*'설정'!$E$30,1)/$D74)^(-'설정'!$C$7)),0))</f>
        <v/>
      </c>
      <c r="Q74" s="8">
        <f>IF($E74*'설정'!$C$5*IF(('설정'!$C$31*IF($A74&gt;=31,1+'설정'!$C$14*'설정'!$E$31,1)/$D74)&lt;1,('설정'!$C$31*IF($A74&gt;=31,1+'설정'!$C$14*'설정'!$E$31,1)/$D74)^(-'설정'!$C$6),('설정'!$C$31*IF($A74&gt;=31,1+'설정'!$C$14*'설정'!$E$31,1)/$D74)^(-'설정'!$C$7))&gt;('설정'!$C$4+'설정'!$F$31),"실패",ROUND($E74*'설정'!$C$5*IF(('설정'!$C$31*IF($A74&gt;=31,1+'설정'!$C$14*'설정'!$E$31,1)/$D74)&lt;1,('설정'!$C$31*IF($A74&gt;=31,1+'설정'!$C$14*'설정'!$E$31,1)/$D74)^(-'설정'!$C$6),('설정'!$C$31*IF($A74&gt;=31,1+'설정'!$C$14*'설정'!$E$31,1)/$D74)^(-'설정'!$C$7)),0))</f>
        <v/>
      </c>
      <c r="R74" s="8">
        <f>IF($E74*'설정'!$C$5*IF(('설정'!$C$32*IF($A74&gt;=31,1+'설정'!$C$14*'설정'!$E$32,1)/$D74)&lt;1,('설정'!$C$32*IF($A74&gt;=31,1+'설정'!$C$14*'설정'!$E$32,1)/$D74)^(-'설정'!$C$6),('설정'!$C$32*IF($A74&gt;=31,1+'설정'!$C$14*'설정'!$E$32,1)/$D74)^(-'설정'!$C$7))&gt;('설정'!$C$4+'설정'!$F$32),"실패",ROUND($E74*'설정'!$C$5*IF(('설정'!$C$32*IF($A74&gt;=31,1+'설정'!$C$14*'설정'!$E$32,1)/$D74)&lt;1,('설정'!$C$32*IF($A74&gt;=31,1+'설정'!$C$14*'설정'!$E$32,1)/$D74)^(-'설정'!$C$6),('설정'!$C$32*IF($A74&gt;=31,1+'설정'!$C$14*'설정'!$E$32,1)/$D74)^(-'설정'!$C$7)),0))</f>
        <v/>
      </c>
      <c r="S74" s="8">
        <f>IF($E74*'설정'!$C$5*IF(('설정'!$C$33*IF($A74&gt;=31,1+'설정'!$C$14*'설정'!$E$33,1)/$D74)&lt;1,('설정'!$C$33*IF($A74&gt;=31,1+'설정'!$C$14*'설정'!$E$33,1)/$D74)^(-'설정'!$C$6),('설정'!$C$33*IF($A74&gt;=31,1+'설정'!$C$14*'설정'!$E$33,1)/$D74)^(-'설정'!$C$7))&gt;('설정'!$C$4+'설정'!$F$33),"실패",ROUND($E74*'설정'!$C$5*IF(('설정'!$C$33*IF($A74&gt;=31,1+'설정'!$C$14*'설정'!$E$33,1)/$D74)&lt;1,('설정'!$C$33*IF($A74&gt;=31,1+'설정'!$C$14*'설정'!$E$33,1)/$D74)^(-'설정'!$C$6),('설정'!$C$33*IF($A74&gt;=31,1+'설정'!$C$14*'설정'!$E$33,1)/$D74)^(-'설정'!$C$7)),0))</f>
        <v/>
      </c>
      <c r="T74" s="8">
        <f>IF($E74*'설정'!$C$5*IF(('설정'!$C$34*IF($A74&gt;=31,1+'설정'!$C$14*'설정'!$E$34,1)/$D74)&lt;1,('설정'!$C$34*IF($A74&gt;=31,1+'설정'!$C$14*'설정'!$E$34,1)/$D74)^(-'설정'!$C$6),('설정'!$C$34*IF($A74&gt;=31,1+'설정'!$C$14*'설정'!$E$34,1)/$D74)^(-'설정'!$C$7))&gt;('설정'!$C$4+'설정'!$F$34),"실패",ROUND($E74*'설정'!$C$5*IF(('설정'!$C$34*IF($A74&gt;=31,1+'설정'!$C$14*'설정'!$E$34,1)/$D74)&lt;1,('설정'!$C$34*IF($A74&gt;=31,1+'설정'!$C$14*'설정'!$E$34,1)/$D74)^(-'설정'!$C$6),('설정'!$C$34*IF($A74&gt;=31,1+'설정'!$C$14*'설정'!$E$34,1)/$D74)^(-'설정'!$C$7)),0))</f>
        <v/>
      </c>
      <c r="U74" s="8">
        <f>IF($E74*'설정'!$C$5*IF(('설정'!$C$35*IF($A74&gt;=31,1+'설정'!$C$14*'설정'!$E$35,1)/$D74)&lt;1,('설정'!$C$35*IF($A74&gt;=31,1+'설정'!$C$14*'설정'!$E$35,1)/$D74)^(-'설정'!$C$6),('설정'!$C$35*IF($A74&gt;=31,1+'설정'!$C$14*'설정'!$E$35,1)/$D74)^(-'설정'!$C$7))&gt;('설정'!$C$4+'설정'!$F$35),"실패",ROUND($E74*'설정'!$C$5*IF(('설정'!$C$35*IF($A74&gt;=31,1+'설정'!$C$14*'설정'!$E$35,1)/$D74)&lt;1,('설정'!$C$35*IF($A74&gt;=31,1+'설정'!$C$14*'설정'!$E$35,1)/$D74)^(-'설정'!$C$6),('설정'!$C$35*IF($A74&gt;=31,1+'설정'!$C$14*'설정'!$E$35,1)/$D74)^(-'설정'!$C$7)),0))</f>
        <v/>
      </c>
      <c r="V74" s="8">
        <f>IF($E74*'설정'!$C$5*IF(('설정'!$C$36*IF($A74&gt;=31,1+'설정'!$C$14*'설정'!$E$36,1)/$D74)&lt;1,('설정'!$C$36*IF($A74&gt;=31,1+'설정'!$C$14*'설정'!$E$36,1)/$D74)^(-'설정'!$C$6),('설정'!$C$36*IF($A74&gt;=31,1+'설정'!$C$14*'설정'!$E$36,1)/$D74)^(-'설정'!$C$7))&gt;('설정'!$C$4+'설정'!$F$36),"실패",ROUND($E74*'설정'!$C$5*IF(('설정'!$C$36*IF($A74&gt;=31,1+'설정'!$C$14*'설정'!$E$36,1)/$D74)&lt;1,('설정'!$C$36*IF($A74&gt;=31,1+'설정'!$C$14*'설정'!$E$36,1)/$D74)^(-'설정'!$C$6),('설정'!$C$36*IF($A74&gt;=31,1+'설정'!$C$14*'설정'!$E$36,1)/$D74)^(-'설정'!$C$7)),0))</f>
        <v/>
      </c>
      <c r="W74" s="8">
        <f>IF($E74*'설정'!$C$5*IF(('설정'!$C$37*IF($A74&gt;=31,1+'설정'!$C$14*'설정'!$E$37,1)/$D74)&lt;1,('설정'!$C$37*IF($A74&gt;=31,1+'설정'!$C$14*'설정'!$E$37,1)/$D74)^(-'설정'!$C$6),('설정'!$C$37*IF($A74&gt;=31,1+'설정'!$C$14*'설정'!$E$37,1)/$D74)^(-'설정'!$C$7))&gt;('설정'!$C$4+'설정'!$F$37),"실패",ROUND($E74*'설정'!$C$5*IF(('설정'!$C$37*IF($A74&gt;=31,1+'설정'!$C$14*'설정'!$E$37,1)/$D74)&lt;1,('설정'!$C$37*IF($A74&gt;=31,1+'설정'!$C$14*'설정'!$E$37,1)/$D74)^(-'설정'!$C$6),('설정'!$C$37*IF($A74&gt;=31,1+'설정'!$C$14*'설정'!$E$37,1)/$D74)^(-'설정'!$C$7)),0))</f>
        <v/>
      </c>
    </row>
    <row r="75">
      <c r="A75" t="n">
        <v>73</v>
      </c>
      <c r="B75" t="inlineStr">
        <is>
          <t>보통</t>
        </is>
      </c>
      <c r="C75" t="inlineStr"/>
      <c r="D75" s="6" t="n">
        <v>13500000</v>
      </c>
      <c r="E75" t="n">
        <v>72</v>
      </c>
      <c r="F75" s="6" t="n">
        <v>270000</v>
      </c>
      <c r="G75" t="n">
        <v>71</v>
      </c>
      <c r="H75" s="8">
        <f>IF($E75*'설정'!$C$5*IF(('설정'!$C$22*IF($A75&gt;=31,1+'설정'!$C$14*'설정'!$E$22,1)/$D75)&lt;1,('설정'!$C$22*IF($A75&gt;=31,1+'설정'!$C$14*'설정'!$E$22,1)/$D75)^(-'설정'!$C$6),('설정'!$C$22*IF($A75&gt;=31,1+'설정'!$C$14*'설정'!$E$22,1)/$D75)^(-'설정'!$C$7))&gt;('설정'!$C$4+'설정'!$F$22),"실패",ROUND($E75*'설정'!$C$5*IF(('설정'!$C$22*IF($A75&gt;=31,1+'설정'!$C$14*'설정'!$E$22,1)/$D75)&lt;1,('설정'!$C$22*IF($A75&gt;=31,1+'설정'!$C$14*'설정'!$E$22,1)/$D75)^(-'설정'!$C$6),('설정'!$C$22*IF($A75&gt;=31,1+'설정'!$C$14*'설정'!$E$22,1)/$D75)^(-'설정'!$C$7)),0))</f>
        <v/>
      </c>
      <c r="I75" s="8">
        <f>IF($E75*'설정'!$C$5*IF(('설정'!$C$23*IF($A75&gt;=31,1+'설정'!$C$14*'설정'!$E$23,1)/$D75)&lt;1,('설정'!$C$23*IF($A75&gt;=31,1+'설정'!$C$14*'설정'!$E$23,1)/$D75)^(-'설정'!$C$6),('설정'!$C$23*IF($A75&gt;=31,1+'설정'!$C$14*'설정'!$E$23,1)/$D75)^(-'설정'!$C$7))&gt;('설정'!$C$4+'설정'!$F$23),"실패",ROUND($E75*'설정'!$C$5*IF(('설정'!$C$23*IF($A75&gt;=31,1+'설정'!$C$14*'설정'!$E$23,1)/$D75)&lt;1,('설정'!$C$23*IF($A75&gt;=31,1+'설정'!$C$14*'설정'!$E$23,1)/$D75)^(-'설정'!$C$6),('설정'!$C$23*IF($A75&gt;=31,1+'설정'!$C$14*'설정'!$E$23,1)/$D75)^(-'설정'!$C$7)),0))</f>
        <v/>
      </c>
      <c r="J75" s="8">
        <f>IF($E75*'설정'!$C$5*IF(('설정'!$C$24*IF($A75&gt;=31,1+'설정'!$C$14*'설정'!$E$24,1)/$D75)&lt;1,('설정'!$C$24*IF($A75&gt;=31,1+'설정'!$C$14*'설정'!$E$24,1)/$D75)^(-'설정'!$C$6),('설정'!$C$24*IF($A75&gt;=31,1+'설정'!$C$14*'설정'!$E$24,1)/$D75)^(-'설정'!$C$7))&gt;('설정'!$C$4+'설정'!$F$24),"실패",ROUND($E75*'설정'!$C$5*IF(('설정'!$C$24*IF($A75&gt;=31,1+'설정'!$C$14*'설정'!$E$24,1)/$D75)&lt;1,('설정'!$C$24*IF($A75&gt;=31,1+'설정'!$C$14*'설정'!$E$24,1)/$D75)^(-'설정'!$C$6),('설정'!$C$24*IF($A75&gt;=31,1+'설정'!$C$14*'설정'!$E$24,1)/$D75)^(-'설정'!$C$7)),0))</f>
        <v/>
      </c>
      <c r="K75" s="8">
        <f>IF($E75*'설정'!$C$5*IF(('설정'!$C$25*IF($A75&gt;=31,1+'설정'!$C$14*'설정'!$E$25,1)/$D75)&lt;1,('설정'!$C$25*IF($A75&gt;=31,1+'설정'!$C$14*'설정'!$E$25,1)/$D75)^(-'설정'!$C$6),('설정'!$C$25*IF($A75&gt;=31,1+'설정'!$C$14*'설정'!$E$25,1)/$D75)^(-'설정'!$C$7))&gt;('설정'!$C$4+'설정'!$F$25),"실패",ROUND($E75*'설정'!$C$5*IF(('설정'!$C$25*IF($A75&gt;=31,1+'설정'!$C$14*'설정'!$E$25,1)/$D75)&lt;1,('설정'!$C$25*IF($A75&gt;=31,1+'설정'!$C$14*'설정'!$E$25,1)/$D75)^(-'설정'!$C$6),('설정'!$C$25*IF($A75&gt;=31,1+'설정'!$C$14*'설정'!$E$25,1)/$D75)^(-'설정'!$C$7)),0))</f>
        <v/>
      </c>
      <c r="L75" s="8">
        <f>IF($E75*'설정'!$C$5*IF(('설정'!$C$26*IF($A75&gt;=31,1+'설정'!$C$14*'설정'!$E$26,1)/$D75)&lt;1,('설정'!$C$26*IF($A75&gt;=31,1+'설정'!$C$14*'설정'!$E$26,1)/$D75)^(-'설정'!$C$6),('설정'!$C$26*IF($A75&gt;=31,1+'설정'!$C$14*'설정'!$E$26,1)/$D75)^(-'설정'!$C$7))&gt;('설정'!$C$4+'설정'!$F$26),"실패",ROUND($E75*'설정'!$C$5*IF(('설정'!$C$26*IF($A75&gt;=31,1+'설정'!$C$14*'설정'!$E$26,1)/$D75)&lt;1,('설정'!$C$26*IF($A75&gt;=31,1+'설정'!$C$14*'설정'!$E$26,1)/$D75)^(-'설정'!$C$6),('설정'!$C$26*IF($A75&gt;=31,1+'설정'!$C$14*'설정'!$E$26,1)/$D75)^(-'설정'!$C$7)),0))</f>
        <v/>
      </c>
      <c r="M75" s="8">
        <f>IF($E75*'설정'!$C$5*IF(('설정'!$C$27*IF($A75&gt;=31,1+'설정'!$C$14*'설정'!$E$27,1)/$D75)&lt;1,('설정'!$C$27*IF($A75&gt;=31,1+'설정'!$C$14*'설정'!$E$27,1)/$D75)^(-'설정'!$C$6),('설정'!$C$27*IF($A75&gt;=31,1+'설정'!$C$14*'설정'!$E$27,1)/$D75)^(-'설정'!$C$7))&gt;('설정'!$C$4+'설정'!$F$27),"실패",ROUND($E75*'설정'!$C$5*IF(('설정'!$C$27*IF($A75&gt;=31,1+'설정'!$C$14*'설정'!$E$27,1)/$D75)&lt;1,('설정'!$C$27*IF($A75&gt;=31,1+'설정'!$C$14*'설정'!$E$27,1)/$D75)^(-'설정'!$C$6),('설정'!$C$27*IF($A75&gt;=31,1+'설정'!$C$14*'설정'!$E$27,1)/$D75)^(-'설정'!$C$7)),0))</f>
        <v/>
      </c>
      <c r="N75" s="8">
        <f>IF($E75*'설정'!$C$5*IF(('설정'!$C$28*IF($A75&gt;=31,1+'설정'!$C$14*'설정'!$E$28,1)/$D75)&lt;1,('설정'!$C$28*IF($A75&gt;=31,1+'설정'!$C$14*'설정'!$E$28,1)/$D75)^(-'설정'!$C$6),('설정'!$C$28*IF($A75&gt;=31,1+'설정'!$C$14*'설정'!$E$28,1)/$D75)^(-'설정'!$C$7))&gt;('설정'!$C$4+'설정'!$F$28),"실패",ROUND($E75*'설정'!$C$5*IF(('설정'!$C$28*IF($A75&gt;=31,1+'설정'!$C$14*'설정'!$E$28,1)/$D75)&lt;1,('설정'!$C$28*IF($A75&gt;=31,1+'설정'!$C$14*'설정'!$E$28,1)/$D75)^(-'설정'!$C$6),('설정'!$C$28*IF($A75&gt;=31,1+'설정'!$C$14*'설정'!$E$28,1)/$D75)^(-'설정'!$C$7)),0))</f>
        <v/>
      </c>
      <c r="O75" s="8">
        <f>IF($E75*'설정'!$C$5*IF(('설정'!$C$29*IF($A75&gt;=31,1+'설정'!$C$14*'설정'!$E$29,1)/$D75)&lt;1,('설정'!$C$29*IF($A75&gt;=31,1+'설정'!$C$14*'설정'!$E$29,1)/$D75)^(-'설정'!$C$6),('설정'!$C$29*IF($A75&gt;=31,1+'설정'!$C$14*'설정'!$E$29,1)/$D75)^(-'설정'!$C$7))&gt;('설정'!$C$4+'설정'!$F$29),"실패",ROUND($E75*'설정'!$C$5*IF(('설정'!$C$29*IF($A75&gt;=31,1+'설정'!$C$14*'설정'!$E$29,1)/$D75)&lt;1,('설정'!$C$29*IF($A75&gt;=31,1+'설정'!$C$14*'설정'!$E$29,1)/$D75)^(-'설정'!$C$6),('설정'!$C$29*IF($A75&gt;=31,1+'설정'!$C$14*'설정'!$E$29,1)/$D75)^(-'설정'!$C$7)),0))</f>
        <v/>
      </c>
      <c r="P75" s="8">
        <f>IF($E75*'설정'!$C$5*IF(('설정'!$C$30*IF($A75&gt;=31,1+'설정'!$C$14*'설정'!$E$30,1)/$D75)&lt;1,('설정'!$C$30*IF($A75&gt;=31,1+'설정'!$C$14*'설정'!$E$30,1)/$D75)^(-'설정'!$C$6),('설정'!$C$30*IF($A75&gt;=31,1+'설정'!$C$14*'설정'!$E$30,1)/$D75)^(-'설정'!$C$7))&gt;('설정'!$C$4+'설정'!$F$30),"실패",ROUND($E75*'설정'!$C$5*IF(('설정'!$C$30*IF($A75&gt;=31,1+'설정'!$C$14*'설정'!$E$30,1)/$D75)&lt;1,('설정'!$C$30*IF($A75&gt;=31,1+'설정'!$C$14*'설정'!$E$30,1)/$D75)^(-'설정'!$C$6),('설정'!$C$30*IF($A75&gt;=31,1+'설정'!$C$14*'설정'!$E$30,1)/$D75)^(-'설정'!$C$7)),0))</f>
        <v/>
      </c>
      <c r="Q75" s="8">
        <f>IF($E75*'설정'!$C$5*IF(('설정'!$C$31*IF($A75&gt;=31,1+'설정'!$C$14*'설정'!$E$31,1)/$D75)&lt;1,('설정'!$C$31*IF($A75&gt;=31,1+'설정'!$C$14*'설정'!$E$31,1)/$D75)^(-'설정'!$C$6),('설정'!$C$31*IF($A75&gt;=31,1+'설정'!$C$14*'설정'!$E$31,1)/$D75)^(-'설정'!$C$7))&gt;('설정'!$C$4+'설정'!$F$31),"실패",ROUND($E75*'설정'!$C$5*IF(('설정'!$C$31*IF($A75&gt;=31,1+'설정'!$C$14*'설정'!$E$31,1)/$D75)&lt;1,('설정'!$C$31*IF($A75&gt;=31,1+'설정'!$C$14*'설정'!$E$31,1)/$D75)^(-'설정'!$C$6),('설정'!$C$31*IF($A75&gt;=31,1+'설정'!$C$14*'설정'!$E$31,1)/$D75)^(-'설정'!$C$7)),0))</f>
        <v/>
      </c>
      <c r="R75" s="8">
        <f>IF($E75*'설정'!$C$5*IF(('설정'!$C$32*IF($A75&gt;=31,1+'설정'!$C$14*'설정'!$E$32,1)/$D75)&lt;1,('설정'!$C$32*IF($A75&gt;=31,1+'설정'!$C$14*'설정'!$E$32,1)/$D75)^(-'설정'!$C$6),('설정'!$C$32*IF($A75&gt;=31,1+'설정'!$C$14*'설정'!$E$32,1)/$D75)^(-'설정'!$C$7))&gt;('설정'!$C$4+'설정'!$F$32),"실패",ROUND($E75*'설정'!$C$5*IF(('설정'!$C$32*IF($A75&gt;=31,1+'설정'!$C$14*'설정'!$E$32,1)/$D75)&lt;1,('설정'!$C$32*IF($A75&gt;=31,1+'설정'!$C$14*'설정'!$E$32,1)/$D75)^(-'설정'!$C$6),('설정'!$C$32*IF($A75&gt;=31,1+'설정'!$C$14*'설정'!$E$32,1)/$D75)^(-'설정'!$C$7)),0))</f>
        <v/>
      </c>
      <c r="S75" s="8">
        <f>IF($E75*'설정'!$C$5*IF(('설정'!$C$33*IF($A75&gt;=31,1+'설정'!$C$14*'설정'!$E$33,1)/$D75)&lt;1,('설정'!$C$33*IF($A75&gt;=31,1+'설정'!$C$14*'설정'!$E$33,1)/$D75)^(-'설정'!$C$6),('설정'!$C$33*IF($A75&gt;=31,1+'설정'!$C$14*'설정'!$E$33,1)/$D75)^(-'설정'!$C$7))&gt;('설정'!$C$4+'설정'!$F$33),"실패",ROUND($E75*'설정'!$C$5*IF(('설정'!$C$33*IF($A75&gt;=31,1+'설정'!$C$14*'설정'!$E$33,1)/$D75)&lt;1,('설정'!$C$33*IF($A75&gt;=31,1+'설정'!$C$14*'설정'!$E$33,1)/$D75)^(-'설정'!$C$6),('설정'!$C$33*IF($A75&gt;=31,1+'설정'!$C$14*'설정'!$E$33,1)/$D75)^(-'설정'!$C$7)),0))</f>
        <v/>
      </c>
      <c r="T75" s="8">
        <f>IF($E75*'설정'!$C$5*IF(('설정'!$C$34*IF($A75&gt;=31,1+'설정'!$C$14*'설정'!$E$34,1)/$D75)&lt;1,('설정'!$C$34*IF($A75&gt;=31,1+'설정'!$C$14*'설정'!$E$34,1)/$D75)^(-'설정'!$C$6),('설정'!$C$34*IF($A75&gt;=31,1+'설정'!$C$14*'설정'!$E$34,1)/$D75)^(-'설정'!$C$7))&gt;('설정'!$C$4+'설정'!$F$34),"실패",ROUND($E75*'설정'!$C$5*IF(('설정'!$C$34*IF($A75&gt;=31,1+'설정'!$C$14*'설정'!$E$34,1)/$D75)&lt;1,('설정'!$C$34*IF($A75&gt;=31,1+'설정'!$C$14*'설정'!$E$34,1)/$D75)^(-'설정'!$C$6),('설정'!$C$34*IF($A75&gt;=31,1+'설정'!$C$14*'설정'!$E$34,1)/$D75)^(-'설정'!$C$7)),0))</f>
        <v/>
      </c>
      <c r="U75" s="8">
        <f>IF($E75*'설정'!$C$5*IF(('설정'!$C$35*IF($A75&gt;=31,1+'설정'!$C$14*'설정'!$E$35,1)/$D75)&lt;1,('설정'!$C$35*IF($A75&gt;=31,1+'설정'!$C$14*'설정'!$E$35,1)/$D75)^(-'설정'!$C$6),('설정'!$C$35*IF($A75&gt;=31,1+'설정'!$C$14*'설정'!$E$35,1)/$D75)^(-'설정'!$C$7))&gt;('설정'!$C$4+'설정'!$F$35),"실패",ROUND($E75*'설정'!$C$5*IF(('설정'!$C$35*IF($A75&gt;=31,1+'설정'!$C$14*'설정'!$E$35,1)/$D75)&lt;1,('설정'!$C$35*IF($A75&gt;=31,1+'설정'!$C$14*'설정'!$E$35,1)/$D75)^(-'설정'!$C$6),('설정'!$C$35*IF($A75&gt;=31,1+'설정'!$C$14*'설정'!$E$35,1)/$D75)^(-'설정'!$C$7)),0))</f>
        <v/>
      </c>
      <c r="V75" s="8">
        <f>IF($E75*'설정'!$C$5*IF(('설정'!$C$36*IF($A75&gt;=31,1+'설정'!$C$14*'설정'!$E$36,1)/$D75)&lt;1,('설정'!$C$36*IF($A75&gt;=31,1+'설정'!$C$14*'설정'!$E$36,1)/$D75)^(-'설정'!$C$6),('설정'!$C$36*IF($A75&gt;=31,1+'설정'!$C$14*'설정'!$E$36,1)/$D75)^(-'설정'!$C$7))&gt;('설정'!$C$4+'설정'!$F$36),"실패",ROUND($E75*'설정'!$C$5*IF(('설정'!$C$36*IF($A75&gt;=31,1+'설정'!$C$14*'설정'!$E$36,1)/$D75)&lt;1,('설정'!$C$36*IF($A75&gt;=31,1+'설정'!$C$14*'설정'!$E$36,1)/$D75)^(-'설정'!$C$6),('설정'!$C$36*IF($A75&gt;=31,1+'설정'!$C$14*'설정'!$E$36,1)/$D75)^(-'설정'!$C$7)),0))</f>
        <v/>
      </c>
      <c r="W75" s="8">
        <f>IF($E75*'설정'!$C$5*IF(('설정'!$C$37*IF($A75&gt;=31,1+'설정'!$C$14*'설정'!$E$37,1)/$D75)&lt;1,('설정'!$C$37*IF($A75&gt;=31,1+'설정'!$C$14*'설정'!$E$37,1)/$D75)^(-'설정'!$C$6),('설정'!$C$37*IF($A75&gt;=31,1+'설정'!$C$14*'설정'!$E$37,1)/$D75)^(-'설정'!$C$7))&gt;('설정'!$C$4+'설정'!$F$37),"실패",ROUND($E75*'설정'!$C$5*IF(('설정'!$C$37*IF($A75&gt;=31,1+'설정'!$C$14*'설정'!$E$37,1)/$D75)&lt;1,('설정'!$C$37*IF($A75&gt;=31,1+'설정'!$C$14*'설정'!$E$37,1)/$D75)^(-'설정'!$C$6),('설정'!$C$37*IF($A75&gt;=31,1+'설정'!$C$14*'설정'!$E$37,1)/$D75)^(-'설정'!$C$7)),0))</f>
        <v/>
      </c>
    </row>
    <row r="76">
      <c r="A76" t="n">
        <v>74</v>
      </c>
      <c r="B76" t="inlineStr">
        <is>
          <t>보통</t>
        </is>
      </c>
      <c r="C76" t="inlineStr"/>
      <c r="D76" s="6" t="n">
        <v>14300000</v>
      </c>
      <c r="E76" t="n">
        <v>72</v>
      </c>
      <c r="F76" s="6" t="n">
        <v>286000</v>
      </c>
      <c r="G76" t="n">
        <v>71</v>
      </c>
      <c r="H76" s="8">
        <f>IF($E76*'설정'!$C$5*IF(('설정'!$C$22*IF($A76&gt;=31,1+'설정'!$C$14*'설정'!$E$22,1)/$D76)&lt;1,('설정'!$C$22*IF($A76&gt;=31,1+'설정'!$C$14*'설정'!$E$22,1)/$D76)^(-'설정'!$C$6),('설정'!$C$22*IF($A76&gt;=31,1+'설정'!$C$14*'설정'!$E$22,1)/$D76)^(-'설정'!$C$7))&gt;('설정'!$C$4+'설정'!$F$22),"실패",ROUND($E76*'설정'!$C$5*IF(('설정'!$C$22*IF($A76&gt;=31,1+'설정'!$C$14*'설정'!$E$22,1)/$D76)&lt;1,('설정'!$C$22*IF($A76&gt;=31,1+'설정'!$C$14*'설정'!$E$22,1)/$D76)^(-'설정'!$C$6),('설정'!$C$22*IF($A76&gt;=31,1+'설정'!$C$14*'설정'!$E$22,1)/$D76)^(-'설정'!$C$7)),0))</f>
        <v/>
      </c>
      <c r="I76" s="8">
        <f>IF($E76*'설정'!$C$5*IF(('설정'!$C$23*IF($A76&gt;=31,1+'설정'!$C$14*'설정'!$E$23,1)/$D76)&lt;1,('설정'!$C$23*IF($A76&gt;=31,1+'설정'!$C$14*'설정'!$E$23,1)/$D76)^(-'설정'!$C$6),('설정'!$C$23*IF($A76&gt;=31,1+'설정'!$C$14*'설정'!$E$23,1)/$D76)^(-'설정'!$C$7))&gt;('설정'!$C$4+'설정'!$F$23),"실패",ROUND($E76*'설정'!$C$5*IF(('설정'!$C$23*IF($A76&gt;=31,1+'설정'!$C$14*'설정'!$E$23,1)/$D76)&lt;1,('설정'!$C$23*IF($A76&gt;=31,1+'설정'!$C$14*'설정'!$E$23,1)/$D76)^(-'설정'!$C$6),('설정'!$C$23*IF($A76&gt;=31,1+'설정'!$C$14*'설정'!$E$23,1)/$D76)^(-'설정'!$C$7)),0))</f>
        <v/>
      </c>
      <c r="J76" s="8">
        <f>IF($E76*'설정'!$C$5*IF(('설정'!$C$24*IF($A76&gt;=31,1+'설정'!$C$14*'설정'!$E$24,1)/$D76)&lt;1,('설정'!$C$24*IF($A76&gt;=31,1+'설정'!$C$14*'설정'!$E$24,1)/$D76)^(-'설정'!$C$6),('설정'!$C$24*IF($A76&gt;=31,1+'설정'!$C$14*'설정'!$E$24,1)/$D76)^(-'설정'!$C$7))&gt;('설정'!$C$4+'설정'!$F$24),"실패",ROUND($E76*'설정'!$C$5*IF(('설정'!$C$24*IF($A76&gt;=31,1+'설정'!$C$14*'설정'!$E$24,1)/$D76)&lt;1,('설정'!$C$24*IF($A76&gt;=31,1+'설정'!$C$14*'설정'!$E$24,1)/$D76)^(-'설정'!$C$6),('설정'!$C$24*IF($A76&gt;=31,1+'설정'!$C$14*'설정'!$E$24,1)/$D76)^(-'설정'!$C$7)),0))</f>
        <v/>
      </c>
      <c r="K76" s="8">
        <f>IF($E76*'설정'!$C$5*IF(('설정'!$C$25*IF($A76&gt;=31,1+'설정'!$C$14*'설정'!$E$25,1)/$D76)&lt;1,('설정'!$C$25*IF($A76&gt;=31,1+'설정'!$C$14*'설정'!$E$25,1)/$D76)^(-'설정'!$C$6),('설정'!$C$25*IF($A76&gt;=31,1+'설정'!$C$14*'설정'!$E$25,1)/$D76)^(-'설정'!$C$7))&gt;('설정'!$C$4+'설정'!$F$25),"실패",ROUND($E76*'설정'!$C$5*IF(('설정'!$C$25*IF($A76&gt;=31,1+'설정'!$C$14*'설정'!$E$25,1)/$D76)&lt;1,('설정'!$C$25*IF($A76&gt;=31,1+'설정'!$C$14*'설정'!$E$25,1)/$D76)^(-'설정'!$C$6),('설정'!$C$25*IF($A76&gt;=31,1+'설정'!$C$14*'설정'!$E$25,1)/$D76)^(-'설정'!$C$7)),0))</f>
        <v/>
      </c>
      <c r="L76" s="8">
        <f>IF($E76*'설정'!$C$5*IF(('설정'!$C$26*IF($A76&gt;=31,1+'설정'!$C$14*'설정'!$E$26,1)/$D76)&lt;1,('설정'!$C$26*IF($A76&gt;=31,1+'설정'!$C$14*'설정'!$E$26,1)/$D76)^(-'설정'!$C$6),('설정'!$C$26*IF($A76&gt;=31,1+'설정'!$C$14*'설정'!$E$26,1)/$D76)^(-'설정'!$C$7))&gt;('설정'!$C$4+'설정'!$F$26),"실패",ROUND($E76*'설정'!$C$5*IF(('설정'!$C$26*IF($A76&gt;=31,1+'설정'!$C$14*'설정'!$E$26,1)/$D76)&lt;1,('설정'!$C$26*IF($A76&gt;=31,1+'설정'!$C$14*'설정'!$E$26,1)/$D76)^(-'설정'!$C$6),('설정'!$C$26*IF($A76&gt;=31,1+'설정'!$C$14*'설정'!$E$26,1)/$D76)^(-'설정'!$C$7)),0))</f>
        <v/>
      </c>
      <c r="M76" s="8">
        <f>IF($E76*'설정'!$C$5*IF(('설정'!$C$27*IF($A76&gt;=31,1+'설정'!$C$14*'설정'!$E$27,1)/$D76)&lt;1,('설정'!$C$27*IF($A76&gt;=31,1+'설정'!$C$14*'설정'!$E$27,1)/$D76)^(-'설정'!$C$6),('설정'!$C$27*IF($A76&gt;=31,1+'설정'!$C$14*'설정'!$E$27,1)/$D76)^(-'설정'!$C$7))&gt;('설정'!$C$4+'설정'!$F$27),"실패",ROUND($E76*'설정'!$C$5*IF(('설정'!$C$27*IF($A76&gt;=31,1+'설정'!$C$14*'설정'!$E$27,1)/$D76)&lt;1,('설정'!$C$27*IF($A76&gt;=31,1+'설정'!$C$14*'설정'!$E$27,1)/$D76)^(-'설정'!$C$6),('설정'!$C$27*IF($A76&gt;=31,1+'설정'!$C$14*'설정'!$E$27,1)/$D76)^(-'설정'!$C$7)),0))</f>
        <v/>
      </c>
      <c r="N76" s="8">
        <f>IF($E76*'설정'!$C$5*IF(('설정'!$C$28*IF($A76&gt;=31,1+'설정'!$C$14*'설정'!$E$28,1)/$D76)&lt;1,('설정'!$C$28*IF($A76&gt;=31,1+'설정'!$C$14*'설정'!$E$28,1)/$D76)^(-'설정'!$C$6),('설정'!$C$28*IF($A76&gt;=31,1+'설정'!$C$14*'설정'!$E$28,1)/$D76)^(-'설정'!$C$7))&gt;('설정'!$C$4+'설정'!$F$28),"실패",ROUND($E76*'설정'!$C$5*IF(('설정'!$C$28*IF($A76&gt;=31,1+'설정'!$C$14*'설정'!$E$28,1)/$D76)&lt;1,('설정'!$C$28*IF($A76&gt;=31,1+'설정'!$C$14*'설정'!$E$28,1)/$D76)^(-'설정'!$C$6),('설정'!$C$28*IF($A76&gt;=31,1+'설정'!$C$14*'설정'!$E$28,1)/$D76)^(-'설정'!$C$7)),0))</f>
        <v/>
      </c>
      <c r="O76" s="8">
        <f>IF($E76*'설정'!$C$5*IF(('설정'!$C$29*IF($A76&gt;=31,1+'설정'!$C$14*'설정'!$E$29,1)/$D76)&lt;1,('설정'!$C$29*IF($A76&gt;=31,1+'설정'!$C$14*'설정'!$E$29,1)/$D76)^(-'설정'!$C$6),('설정'!$C$29*IF($A76&gt;=31,1+'설정'!$C$14*'설정'!$E$29,1)/$D76)^(-'설정'!$C$7))&gt;('설정'!$C$4+'설정'!$F$29),"실패",ROUND($E76*'설정'!$C$5*IF(('설정'!$C$29*IF($A76&gt;=31,1+'설정'!$C$14*'설정'!$E$29,1)/$D76)&lt;1,('설정'!$C$29*IF($A76&gt;=31,1+'설정'!$C$14*'설정'!$E$29,1)/$D76)^(-'설정'!$C$6),('설정'!$C$29*IF($A76&gt;=31,1+'설정'!$C$14*'설정'!$E$29,1)/$D76)^(-'설정'!$C$7)),0))</f>
        <v/>
      </c>
      <c r="P76" s="8">
        <f>IF($E76*'설정'!$C$5*IF(('설정'!$C$30*IF($A76&gt;=31,1+'설정'!$C$14*'설정'!$E$30,1)/$D76)&lt;1,('설정'!$C$30*IF($A76&gt;=31,1+'설정'!$C$14*'설정'!$E$30,1)/$D76)^(-'설정'!$C$6),('설정'!$C$30*IF($A76&gt;=31,1+'설정'!$C$14*'설정'!$E$30,1)/$D76)^(-'설정'!$C$7))&gt;('설정'!$C$4+'설정'!$F$30),"실패",ROUND($E76*'설정'!$C$5*IF(('설정'!$C$30*IF($A76&gt;=31,1+'설정'!$C$14*'설정'!$E$30,1)/$D76)&lt;1,('설정'!$C$30*IF($A76&gt;=31,1+'설정'!$C$14*'설정'!$E$30,1)/$D76)^(-'설정'!$C$6),('설정'!$C$30*IF($A76&gt;=31,1+'설정'!$C$14*'설정'!$E$30,1)/$D76)^(-'설정'!$C$7)),0))</f>
        <v/>
      </c>
      <c r="Q76" s="8">
        <f>IF($E76*'설정'!$C$5*IF(('설정'!$C$31*IF($A76&gt;=31,1+'설정'!$C$14*'설정'!$E$31,1)/$D76)&lt;1,('설정'!$C$31*IF($A76&gt;=31,1+'설정'!$C$14*'설정'!$E$31,1)/$D76)^(-'설정'!$C$6),('설정'!$C$31*IF($A76&gt;=31,1+'설정'!$C$14*'설정'!$E$31,1)/$D76)^(-'설정'!$C$7))&gt;('설정'!$C$4+'설정'!$F$31),"실패",ROUND($E76*'설정'!$C$5*IF(('설정'!$C$31*IF($A76&gt;=31,1+'설정'!$C$14*'설정'!$E$31,1)/$D76)&lt;1,('설정'!$C$31*IF($A76&gt;=31,1+'설정'!$C$14*'설정'!$E$31,1)/$D76)^(-'설정'!$C$6),('설정'!$C$31*IF($A76&gt;=31,1+'설정'!$C$14*'설정'!$E$31,1)/$D76)^(-'설정'!$C$7)),0))</f>
        <v/>
      </c>
      <c r="R76" s="8">
        <f>IF($E76*'설정'!$C$5*IF(('설정'!$C$32*IF($A76&gt;=31,1+'설정'!$C$14*'설정'!$E$32,1)/$D76)&lt;1,('설정'!$C$32*IF($A76&gt;=31,1+'설정'!$C$14*'설정'!$E$32,1)/$D76)^(-'설정'!$C$6),('설정'!$C$32*IF($A76&gt;=31,1+'설정'!$C$14*'설정'!$E$32,1)/$D76)^(-'설정'!$C$7))&gt;('설정'!$C$4+'설정'!$F$32),"실패",ROUND($E76*'설정'!$C$5*IF(('설정'!$C$32*IF($A76&gt;=31,1+'설정'!$C$14*'설정'!$E$32,1)/$D76)&lt;1,('설정'!$C$32*IF($A76&gt;=31,1+'설정'!$C$14*'설정'!$E$32,1)/$D76)^(-'설정'!$C$6),('설정'!$C$32*IF($A76&gt;=31,1+'설정'!$C$14*'설정'!$E$32,1)/$D76)^(-'설정'!$C$7)),0))</f>
        <v/>
      </c>
      <c r="S76" s="8">
        <f>IF($E76*'설정'!$C$5*IF(('설정'!$C$33*IF($A76&gt;=31,1+'설정'!$C$14*'설정'!$E$33,1)/$D76)&lt;1,('설정'!$C$33*IF($A76&gt;=31,1+'설정'!$C$14*'설정'!$E$33,1)/$D76)^(-'설정'!$C$6),('설정'!$C$33*IF($A76&gt;=31,1+'설정'!$C$14*'설정'!$E$33,1)/$D76)^(-'설정'!$C$7))&gt;('설정'!$C$4+'설정'!$F$33),"실패",ROUND($E76*'설정'!$C$5*IF(('설정'!$C$33*IF($A76&gt;=31,1+'설정'!$C$14*'설정'!$E$33,1)/$D76)&lt;1,('설정'!$C$33*IF($A76&gt;=31,1+'설정'!$C$14*'설정'!$E$33,1)/$D76)^(-'설정'!$C$6),('설정'!$C$33*IF($A76&gt;=31,1+'설정'!$C$14*'설정'!$E$33,1)/$D76)^(-'설정'!$C$7)),0))</f>
        <v/>
      </c>
      <c r="T76" s="8">
        <f>IF($E76*'설정'!$C$5*IF(('설정'!$C$34*IF($A76&gt;=31,1+'설정'!$C$14*'설정'!$E$34,1)/$D76)&lt;1,('설정'!$C$34*IF($A76&gt;=31,1+'설정'!$C$14*'설정'!$E$34,1)/$D76)^(-'설정'!$C$6),('설정'!$C$34*IF($A76&gt;=31,1+'설정'!$C$14*'설정'!$E$34,1)/$D76)^(-'설정'!$C$7))&gt;('설정'!$C$4+'설정'!$F$34),"실패",ROUND($E76*'설정'!$C$5*IF(('설정'!$C$34*IF($A76&gt;=31,1+'설정'!$C$14*'설정'!$E$34,1)/$D76)&lt;1,('설정'!$C$34*IF($A76&gt;=31,1+'설정'!$C$14*'설정'!$E$34,1)/$D76)^(-'설정'!$C$6),('설정'!$C$34*IF($A76&gt;=31,1+'설정'!$C$14*'설정'!$E$34,1)/$D76)^(-'설정'!$C$7)),0))</f>
        <v/>
      </c>
      <c r="U76" s="8">
        <f>IF($E76*'설정'!$C$5*IF(('설정'!$C$35*IF($A76&gt;=31,1+'설정'!$C$14*'설정'!$E$35,1)/$D76)&lt;1,('설정'!$C$35*IF($A76&gt;=31,1+'설정'!$C$14*'설정'!$E$35,1)/$D76)^(-'설정'!$C$6),('설정'!$C$35*IF($A76&gt;=31,1+'설정'!$C$14*'설정'!$E$35,1)/$D76)^(-'설정'!$C$7))&gt;('설정'!$C$4+'설정'!$F$35),"실패",ROUND($E76*'설정'!$C$5*IF(('설정'!$C$35*IF($A76&gt;=31,1+'설정'!$C$14*'설정'!$E$35,1)/$D76)&lt;1,('설정'!$C$35*IF($A76&gt;=31,1+'설정'!$C$14*'설정'!$E$35,1)/$D76)^(-'설정'!$C$6),('설정'!$C$35*IF($A76&gt;=31,1+'설정'!$C$14*'설정'!$E$35,1)/$D76)^(-'설정'!$C$7)),0))</f>
        <v/>
      </c>
      <c r="V76" s="8">
        <f>IF($E76*'설정'!$C$5*IF(('설정'!$C$36*IF($A76&gt;=31,1+'설정'!$C$14*'설정'!$E$36,1)/$D76)&lt;1,('설정'!$C$36*IF($A76&gt;=31,1+'설정'!$C$14*'설정'!$E$36,1)/$D76)^(-'설정'!$C$6),('설정'!$C$36*IF($A76&gt;=31,1+'설정'!$C$14*'설정'!$E$36,1)/$D76)^(-'설정'!$C$7))&gt;('설정'!$C$4+'설정'!$F$36),"실패",ROUND($E76*'설정'!$C$5*IF(('설정'!$C$36*IF($A76&gt;=31,1+'설정'!$C$14*'설정'!$E$36,1)/$D76)&lt;1,('설정'!$C$36*IF($A76&gt;=31,1+'설정'!$C$14*'설정'!$E$36,1)/$D76)^(-'설정'!$C$6),('설정'!$C$36*IF($A76&gt;=31,1+'설정'!$C$14*'설정'!$E$36,1)/$D76)^(-'설정'!$C$7)),0))</f>
        <v/>
      </c>
      <c r="W76" s="8">
        <f>IF($E76*'설정'!$C$5*IF(('설정'!$C$37*IF($A76&gt;=31,1+'설정'!$C$14*'설정'!$E$37,1)/$D76)&lt;1,('설정'!$C$37*IF($A76&gt;=31,1+'설정'!$C$14*'설정'!$E$37,1)/$D76)^(-'설정'!$C$6),('설정'!$C$37*IF($A76&gt;=31,1+'설정'!$C$14*'설정'!$E$37,1)/$D76)^(-'설정'!$C$7))&gt;('설정'!$C$4+'설정'!$F$37),"실패",ROUND($E76*'설정'!$C$5*IF(('설정'!$C$37*IF($A76&gt;=31,1+'설정'!$C$14*'설정'!$E$37,1)/$D76)&lt;1,('설정'!$C$37*IF($A76&gt;=31,1+'설정'!$C$14*'설정'!$E$37,1)/$D76)^(-'설정'!$C$6),('설정'!$C$37*IF($A76&gt;=31,1+'설정'!$C$14*'설정'!$E$37,1)/$D76)^(-'설정'!$C$7)),0))</f>
        <v/>
      </c>
    </row>
    <row r="77">
      <c r="A77" t="n">
        <v>75</v>
      </c>
      <c r="B77" t="inlineStr">
        <is>
          <t>어려움</t>
        </is>
      </c>
      <c r="C77" t="inlineStr">
        <is>
          <t>보스</t>
        </is>
      </c>
      <c r="D77" s="6" t="n">
        <v>17400000</v>
      </c>
      <c r="E77" t="n">
        <v>90</v>
      </c>
      <c r="F77" s="6" t="n">
        <v>348000</v>
      </c>
      <c r="G77" t="n">
        <v>71</v>
      </c>
      <c r="H77" s="8">
        <f>IF($E77*'설정'!$C$5*IF(('설정'!$C$22*IF($A77&gt;=31,1+'설정'!$C$14*'설정'!$E$22,1)/$D77)&lt;1,('설정'!$C$22*IF($A77&gt;=31,1+'설정'!$C$14*'설정'!$E$22,1)/$D77)^(-'설정'!$C$6),('설정'!$C$22*IF($A77&gt;=31,1+'설정'!$C$14*'설정'!$E$22,1)/$D77)^(-'설정'!$C$7))&gt;('설정'!$C$4+'설정'!$F$22+'설정'!$G$22),"실패",ROUND($E77*'설정'!$C$5*IF(('설정'!$C$22*IF($A77&gt;=31,1+'설정'!$C$14*'설정'!$E$22,1)/$D77)&lt;1,('설정'!$C$22*IF($A77&gt;=31,1+'설정'!$C$14*'설정'!$E$22,1)/$D77)^(-'설정'!$C$6),('설정'!$C$22*IF($A77&gt;=31,1+'설정'!$C$14*'설정'!$E$22,1)/$D77)^(-'설정'!$C$7)),0))</f>
        <v/>
      </c>
      <c r="I77" s="8">
        <f>IF($E77*'설정'!$C$5*IF(('설정'!$C$23*IF($A77&gt;=31,1+'설정'!$C$14*'설정'!$E$23,1)/$D77)&lt;1,('설정'!$C$23*IF($A77&gt;=31,1+'설정'!$C$14*'설정'!$E$23,1)/$D77)^(-'설정'!$C$6),('설정'!$C$23*IF($A77&gt;=31,1+'설정'!$C$14*'설정'!$E$23,1)/$D77)^(-'설정'!$C$7))&gt;('설정'!$C$4+'설정'!$F$23+'설정'!$G$23),"실패",ROUND($E77*'설정'!$C$5*IF(('설정'!$C$23*IF($A77&gt;=31,1+'설정'!$C$14*'설정'!$E$23,1)/$D77)&lt;1,('설정'!$C$23*IF($A77&gt;=31,1+'설정'!$C$14*'설정'!$E$23,1)/$D77)^(-'설정'!$C$6),('설정'!$C$23*IF($A77&gt;=31,1+'설정'!$C$14*'설정'!$E$23,1)/$D77)^(-'설정'!$C$7)),0))</f>
        <v/>
      </c>
      <c r="J77" s="8">
        <f>IF($E77*'설정'!$C$5*IF(('설정'!$C$24*IF($A77&gt;=31,1+'설정'!$C$14*'설정'!$E$24,1)/$D77)&lt;1,('설정'!$C$24*IF($A77&gt;=31,1+'설정'!$C$14*'설정'!$E$24,1)/$D77)^(-'설정'!$C$6),('설정'!$C$24*IF($A77&gt;=31,1+'설정'!$C$14*'설정'!$E$24,1)/$D77)^(-'설정'!$C$7))&gt;('설정'!$C$4+'설정'!$F$24+'설정'!$G$24),"실패",ROUND($E77*'설정'!$C$5*IF(('설정'!$C$24*IF($A77&gt;=31,1+'설정'!$C$14*'설정'!$E$24,1)/$D77)&lt;1,('설정'!$C$24*IF($A77&gt;=31,1+'설정'!$C$14*'설정'!$E$24,1)/$D77)^(-'설정'!$C$6),('설정'!$C$24*IF($A77&gt;=31,1+'설정'!$C$14*'설정'!$E$24,1)/$D77)^(-'설정'!$C$7)),0))</f>
        <v/>
      </c>
      <c r="K77" s="8">
        <f>IF($E77*'설정'!$C$5*IF(('설정'!$C$25*IF($A77&gt;=31,1+'설정'!$C$14*'설정'!$E$25,1)/$D77)&lt;1,('설정'!$C$25*IF($A77&gt;=31,1+'설정'!$C$14*'설정'!$E$25,1)/$D77)^(-'설정'!$C$6),('설정'!$C$25*IF($A77&gt;=31,1+'설정'!$C$14*'설정'!$E$25,1)/$D77)^(-'설정'!$C$7))&gt;('설정'!$C$4+'설정'!$F$25+'설정'!$G$25),"실패",ROUND($E77*'설정'!$C$5*IF(('설정'!$C$25*IF($A77&gt;=31,1+'설정'!$C$14*'설정'!$E$25,1)/$D77)&lt;1,('설정'!$C$25*IF($A77&gt;=31,1+'설정'!$C$14*'설정'!$E$25,1)/$D77)^(-'설정'!$C$6),('설정'!$C$25*IF($A77&gt;=31,1+'설정'!$C$14*'설정'!$E$25,1)/$D77)^(-'설정'!$C$7)),0))</f>
        <v/>
      </c>
      <c r="L77" s="8">
        <f>IF($E77*'설정'!$C$5*IF(('설정'!$C$26*IF($A77&gt;=31,1+'설정'!$C$14*'설정'!$E$26,1)/$D77)&lt;1,('설정'!$C$26*IF($A77&gt;=31,1+'설정'!$C$14*'설정'!$E$26,1)/$D77)^(-'설정'!$C$6),('설정'!$C$26*IF($A77&gt;=31,1+'설정'!$C$14*'설정'!$E$26,1)/$D77)^(-'설정'!$C$7))&gt;('설정'!$C$4+'설정'!$F$26+'설정'!$G$26),"실패",ROUND($E77*'설정'!$C$5*IF(('설정'!$C$26*IF($A77&gt;=31,1+'설정'!$C$14*'설정'!$E$26,1)/$D77)&lt;1,('설정'!$C$26*IF($A77&gt;=31,1+'설정'!$C$14*'설정'!$E$26,1)/$D77)^(-'설정'!$C$6),('설정'!$C$26*IF($A77&gt;=31,1+'설정'!$C$14*'설정'!$E$26,1)/$D77)^(-'설정'!$C$7)),0))</f>
        <v/>
      </c>
      <c r="M77" s="8">
        <f>IF($E77*'설정'!$C$5*IF(('설정'!$C$27*IF($A77&gt;=31,1+'설정'!$C$14*'설정'!$E$27,1)/$D77)&lt;1,('설정'!$C$27*IF($A77&gt;=31,1+'설정'!$C$14*'설정'!$E$27,1)/$D77)^(-'설정'!$C$6),('설정'!$C$27*IF($A77&gt;=31,1+'설정'!$C$14*'설정'!$E$27,1)/$D77)^(-'설정'!$C$7))&gt;('설정'!$C$4+'설정'!$F$27+'설정'!$G$27),"실패",ROUND($E77*'설정'!$C$5*IF(('설정'!$C$27*IF($A77&gt;=31,1+'설정'!$C$14*'설정'!$E$27,1)/$D77)&lt;1,('설정'!$C$27*IF($A77&gt;=31,1+'설정'!$C$14*'설정'!$E$27,1)/$D77)^(-'설정'!$C$6),('설정'!$C$27*IF($A77&gt;=31,1+'설정'!$C$14*'설정'!$E$27,1)/$D77)^(-'설정'!$C$7)),0))</f>
        <v/>
      </c>
      <c r="N77" s="8">
        <f>IF($E77*'설정'!$C$5*IF(('설정'!$C$28*IF($A77&gt;=31,1+'설정'!$C$14*'설정'!$E$28,1)/$D77)&lt;1,('설정'!$C$28*IF($A77&gt;=31,1+'설정'!$C$14*'설정'!$E$28,1)/$D77)^(-'설정'!$C$6),('설정'!$C$28*IF($A77&gt;=31,1+'설정'!$C$14*'설정'!$E$28,1)/$D77)^(-'설정'!$C$7))&gt;('설정'!$C$4+'설정'!$F$28+'설정'!$G$28),"실패",ROUND($E77*'설정'!$C$5*IF(('설정'!$C$28*IF($A77&gt;=31,1+'설정'!$C$14*'설정'!$E$28,1)/$D77)&lt;1,('설정'!$C$28*IF($A77&gt;=31,1+'설정'!$C$14*'설정'!$E$28,1)/$D77)^(-'설정'!$C$6),('설정'!$C$28*IF($A77&gt;=31,1+'설정'!$C$14*'설정'!$E$28,1)/$D77)^(-'설정'!$C$7)),0))</f>
        <v/>
      </c>
      <c r="O77" s="8">
        <f>IF($E77*'설정'!$C$5*IF(('설정'!$C$29*IF($A77&gt;=31,1+'설정'!$C$14*'설정'!$E$29,1)/$D77)&lt;1,('설정'!$C$29*IF($A77&gt;=31,1+'설정'!$C$14*'설정'!$E$29,1)/$D77)^(-'설정'!$C$6),('설정'!$C$29*IF($A77&gt;=31,1+'설정'!$C$14*'설정'!$E$29,1)/$D77)^(-'설정'!$C$7))&gt;('설정'!$C$4+'설정'!$F$29+'설정'!$G$29),"실패",ROUND($E77*'설정'!$C$5*IF(('설정'!$C$29*IF($A77&gt;=31,1+'설정'!$C$14*'설정'!$E$29,1)/$D77)&lt;1,('설정'!$C$29*IF($A77&gt;=31,1+'설정'!$C$14*'설정'!$E$29,1)/$D77)^(-'설정'!$C$6),('설정'!$C$29*IF($A77&gt;=31,1+'설정'!$C$14*'설정'!$E$29,1)/$D77)^(-'설정'!$C$7)),0))</f>
        <v/>
      </c>
      <c r="P77" s="8">
        <f>IF($E77*'설정'!$C$5*IF(('설정'!$C$30*IF($A77&gt;=31,1+'설정'!$C$14*'설정'!$E$30,1)/$D77)&lt;1,('설정'!$C$30*IF($A77&gt;=31,1+'설정'!$C$14*'설정'!$E$30,1)/$D77)^(-'설정'!$C$6),('설정'!$C$30*IF($A77&gt;=31,1+'설정'!$C$14*'설정'!$E$30,1)/$D77)^(-'설정'!$C$7))&gt;('설정'!$C$4+'설정'!$F$30+'설정'!$G$30),"실패",ROUND($E77*'설정'!$C$5*IF(('설정'!$C$30*IF($A77&gt;=31,1+'설정'!$C$14*'설정'!$E$30,1)/$D77)&lt;1,('설정'!$C$30*IF($A77&gt;=31,1+'설정'!$C$14*'설정'!$E$30,1)/$D77)^(-'설정'!$C$6),('설정'!$C$30*IF($A77&gt;=31,1+'설정'!$C$14*'설정'!$E$30,1)/$D77)^(-'설정'!$C$7)),0))</f>
        <v/>
      </c>
      <c r="Q77" s="8">
        <f>IF($E77*'설정'!$C$5*IF(('설정'!$C$31*IF($A77&gt;=31,1+'설정'!$C$14*'설정'!$E$31,1)/$D77)&lt;1,('설정'!$C$31*IF($A77&gt;=31,1+'설정'!$C$14*'설정'!$E$31,1)/$D77)^(-'설정'!$C$6),('설정'!$C$31*IF($A77&gt;=31,1+'설정'!$C$14*'설정'!$E$31,1)/$D77)^(-'설정'!$C$7))&gt;('설정'!$C$4+'설정'!$F$31+'설정'!$G$31),"실패",ROUND($E77*'설정'!$C$5*IF(('설정'!$C$31*IF($A77&gt;=31,1+'설정'!$C$14*'설정'!$E$31,1)/$D77)&lt;1,('설정'!$C$31*IF($A77&gt;=31,1+'설정'!$C$14*'설정'!$E$31,1)/$D77)^(-'설정'!$C$6),('설정'!$C$31*IF($A77&gt;=31,1+'설정'!$C$14*'설정'!$E$31,1)/$D77)^(-'설정'!$C$7)),0))</f>
        <v/>
      </c>
      <c r="R77" s="8">
        <f>IF($E77*'설정'!$C$5*IF(('설정'!$C$32*IF($A77&gt;=31,1+'설정'!$C$14*'설정'!$E$32,1)/$D77)&lt;1,('설정'!$C$32*IF($A77&gt;=31,1+'설정'!$C$14*'설정'!$E$32,1)/$D77)^(-'설정'!$C$6),('설정'!$C$32*IF($A77&gt;=31,1+'설정'!$C$14*'설정'!$E$32,1)/$D77)^(-'설정'!$C$7))&gt;('설정'!$C$4+'설정'!$F$32+'설정'!$G$32),"실패",ROUND($E77*'설정'!$C$5*IF(('설정'!$C$32*IF($A77&gt;=31,1+'설정'!$C$14*'설정'!$E$32,1)/$D77)&lt;1,('설정'!$C$32*IF($A77&gt;=31,1+'설정'!$C$14*'설정'!$E$32,1)/$D77)^(-'설정'!$C$6),('설정'!$C$32*IF($A77&gt;=31,1+'설정'!$C$14*'설정'!$E$32,1)/$D77)^(-'설정'!$C$7)),0))</f>
        <v/>
      </c>
      <c r="S77" s="8">
        <f>IF($E77*'설정'!$C$5*IF(('설정'!$C$33*IF($A77&gt;=31,1+'설정'!$C$14*'설정'!$E$33,1)/$D77)&lt;1,('설정'!$C$33*IF($A77&gt;=31,1+'설정'!$C$14*'설정'!$E$33,1)/$D77)^(-'설정'!$C$6),('설정'!$C$33*IF($A77&gt;=31,1+'설정'!$C$14*'설정'!$E$33,1)/$D77)^(-'설정'!$C$7))&gt;('설정'!$C$4+'설정'!$F$33+'설정'!$G$33),"실패",ROUND($E77*'설정'!$C$5*IF(('설정'!$C$33*IF($A77&gt;=31,1+'설정'!$C$14*'설정'!$E$33,1)/$D77)&lt;1,('설정'!$C$33*IF($A77&gt;=31,1+'설정'!$C$14*'설정'!$E$33,1)/$D77)^(-'설정'!$C$6),('설정'!$C$33*IF($A77&gt;=31,1+'설정'!$C$14*'설정'!$E$33,1)/$D77)^(-'설정'!$C$7)),0))</f>
        <v/>
      </c>
      <c r="T77" s="8">
        <f>IF($E77*'설정'!$C$5*IF(('설정'!$C$34*IF($A77&gt;=31,1+'설정'!$C$14*'설정'!$E$34,1)/$D77)&lt;1,('설정'!$C$34*IF($A77&gt;=31,1+'설정'!$C$14*'설정'!$E$34,1)/$D77)^(-'설정'!$C$6),('설정'!$C$34*IF($A77&gt;=31,1+'설정'!$C$14*'설정'!$E$34,1)/$D77)^(-'설정'!$C$7))&gt;('설정'!$C$4+'설정'!$F$34+'설정'!$G$34),"실패",ROUND($E77*'설정'!$C$5*IF(('설정'!$C$34*IF($A77&gt;=31,1+'설정'!$C$14*'설정'!$E$34,1)/$D77)&lt;1,('설정'!$C$34*IF($A77&gt;=31,1+'설정'!$C$14*'설정'!$E$34,1)/$D77)^(-'설정'!$C$6),('설정'!$C$34*IF($A77&gt;=31,1+'설정'!$C$14*'설정'!$E$34,1)/$D77)^(-'설정'!$C$7)),0))</f>
        <v/>
      </c>
      <c r="U77" s="8">
        <f>IF($E77*'설정'!$C$5*IF(('설정'!$C$35*IF($A77&gt;=31,1+'설정'!$C$14*'설정'!$E$35,1)/$D77)&lt;1,('설정'!$C$35*IF($A77&gt;=31,1+'설정'!$C$14*'설정'!$E$35,1)/$D77)^(-'설정'!$C$6),('설정'!$C$35*IF($A77&gt;=31,1+'설정'!$C$14*'설정'!$E$35,1)/$D77)^(-'설정'!$C$7))&gt;('설정'!$C$4+'설정'!$F$35+'설정'!$G$35),"실패",ROUND($E77*'설정'!$C$5*IF(('설정'!$C$35*IF($A77&gt;=31,1+'설정'!$C$14*'설정'!$E$35,1)/$D77)&lt;1,('설정'!$C$35*IF($A77&gt;=31,1+'설정'!$C$14*'설정'!$E$35,1)/$D77)^(-'설정'!$C$6),('설정'!$C$35*IF($A77&gt;=31,1+'설정'!$C$14*'설정'!$E$35,1)/$D77)^(-'설정'!$C$7)),0))</f>
        <v/>
      </c>
      <c r="V77" s="8">
        <f>IF($E77*'설정'!$C$5*IF(('설정'!$C$36*IF($A77&gt;=31,1+'설정'!$C$14*'설정'!$E$36,1)/$D77)&lt;1,('설정'!$C$36*IF($A77&gt;=31,1+'설정'!$C$14*'설정'!$E$36,1)/$D77)^(-'설정'!$C$6),('설정'!$C$36*IF($A77&gt;=31,1+'설정'!$C$14*'설정'!$E$36,1)/$D77)^(-'설정'!$C$7))&gt;('설정'!$C$4+'설정'!$F$36+'설정'!$G$36),"실패",ROUND($E77*'설정'!$C$5*IF(('설정'!$C$36*IF($A77&gt;=31,1+'설정'!$C$14*'설정'!$E$36,1)/$D77)&lt;1,('설정'!$C$36*IF($A77&gt;=31,1+'설정'!$C$14*'설정'!$E$36,1)/$D77)^(-'설정'!$C$6),('설정'!$C$36*IF($A77&gt;=31,1+'설정'!$C$14*'설정'!$E$36,1)/$D77)^(-'설정'!$C$7)),0))</f>
        <v/>
      </c>
      <c r="W77" s="8">
        <f>IF($E77*'설정'!$C$5*IF(('설정'!$C$37*IF($A77&gt;=31,1+'설정'!$C$14*'설정'!$E$37,1)/$D77)&lt;1,('설정'!$C$37*IF($A77&gt;=31,1+'설정'!$C$14*'설정'!$E$37,1)/$D77)^(-'설정'!$C$6),('설정'!$C$37*IF($A77&gt;=31,1+'설정'!$C$14*'설정'!$E$37,1)/$D77)^(-'설정'!$C$7))&gt;('설정'!$C$4+'설정'!$F$37+'설정'!$G$37),"실패",ROUND($E77*'설정'!$C$5*IF(('설정'!$C$37*IF($A77&gt;=31,1+'설정'!$C$14*'설정'!$E$37,1)/$D77)&lt;1,('설정'!$C$37*IF($A77&gt;=31,1+'설정'!$C$14*'설정'!$E$37,1)/$D77)^(-'설정'!$C$6),('설정'!$C$37*IF($A77&gt;=31,1+'설정'!$C$14*'설정'!$E$37,1)/$D77)^(-'설정'!$C$7)),0))</f>
        <v/>
      </c>
    </row>
    <row r="78">
      <c r="A78" t="n">
        <v>76</v>
      </c>
      <c r="B78" t="inlineStr">
        <is>
          <t>보통</t>
        </is>
      </c>
      <c r="C78" t="inlineStr"/>
      <c r="D78" s="6" t="n">
        <v>16100000</v>
      </c>
      <c r="E78" t="n">
        <v>72</v>
      </c>
      <c r="F78" s="6" t="n">
        <v>321000</v>
      </c>
      <c r="G78" t="n">
        <v>72</v>
      </c>
      <c r="H78" s="8">
        <f>IF($E78*'설정'!$C$5*IF(('설정'!$C$22*IF($A78&gt;=31,1+'설정'!$C$14*'설정'!$E$22,1)/$D78)&lt;1,('설정'!$C$22*IF($A78&gt;=31,1+'설정'!$C$14*'설정'!$E$22,1)/$D78)^(-'설정'!$C$6),('설정'!$C$22*IF($A78&gt;=31,1+'설정'!$C$14*'설정'!$E$22,1)/$D78)^(-'설정'!$C$7))&gt;('설정'!$C$4+'설정'!$F$22),"실패",ROUND($E78*'설정'!$C$5*IF(('설정'!$C$22*IF($A78&gt;=31,1+'설정'!$C$14*'설정'!$E$22,1)/$D78)&lt;1,('설정'!$C$22*IF($A78&gt;=31,1+'설정'!$C$14*'설정'!$E$22,1)/$D78)^(-'설정'!$C$6),('설정'!$C$22*IF($A78&gt;=31,1+'설정'!$C$14*'설정'!$E$22,1)/$D78)^(-'설정'!$C$7)),0))</f>
        <v/>
      </c>
      <c r="I78" s="8">
        <f>IF($E78*'설정'!$C$5*IF(('설정'!$C$23*IF($A78&gt;=31,1+'설정'!$C$14*'설정'!$E$23,1)/$D78)&lt;1,('설정'!$C$23*IF($A78&gt;=31,1+'설정'!$C$14*'설정'!$E$23,1)/$D78)^(-'설정'!$C$6),('설정'!$C$23*IF($A78&gt;=31,1+'설정'!$C$14*'설정'!$E$23,1)/$D78)^(-'설정'!$C$7))&gt;('설정'!$C$4+'설정'!$F$23),"실패",ROUND($E78*'설정'!$C$5*IF(('설정'!$C$23*IF($A78&gt;=31,1+'설정'!$C$14*'설정'!$E$23,1)/$D78)&lt;1,('설정'!$C$23*IF($A78&gt;=31,1+'설정'!$C$14*'설정'!$E$23,1)/$D78)^(-'설정'!$C$6),('설정'!$C$23*IF($A78&gt;=31,1+'설정'!$C$14*'설정'!$E$23,1)/$D78)^(-'설정'!$C$7)),0))</f>
        <v/>
      </c>
      <c r="J78" s="8">
        <f>IF($E78*'설정'!$C$5*IF(('설정'!$C$24*IF($A78&gt;=31,1+'설정'!$C$14*'설정'!$E$24,1)/$D78)&lt;1,('설정'!$C$24*IF($A78&gt;=31,1+'설정'!$C$14*'설정'!$E$24,1)/$D78)^(-'설정'!$C$6),('설정'!$C$24*IF($A78&gt;=31,1+'설정'!$C$14*'설정'!$E$24,1)/$D78)^(-'설정'!$C$7))&gt;('설정'!$C$4+'설정'!$F$24),"실패",ROUND($E78*'설정'!$C$5*IF(('설정'!$C$24*IF($A78&gt;=31,1+'설정'!$C$14*'설정'!$E$24,1)/$D78)&lt;1,('설정'!$C$24*IF($A78&gt;=31,1+'설정'!$C$14*'설정'!$E$24,1)/$D78)^(-'설정'!$C$6),('설정'!$C$24*IF($A78&gt;=31,1+'설정'!$C$14*'설정'!$E$24,1)/$D78)^(-'설정'!$C$7)),0))</f>
        <v/>
      </c>
      <c r="K78" s="8">
        <f>IF($E78*'설정'!$C$5*IF(('설정'!$C$25*IF($A78&gt;=31,1+'설정'!$C$14*'설정'!$E$25,1)/$D78)&lt;1,('설정'!$C$25*IF($A78&gt;=31,1+'설정'!$C$14*'설정'!$E$25,1)/$D78)^(-'설정'!$C$6),('설정'!$C$25*IF($A78&gt;=31,1+'설정'!$C$14*'설정'!$E$25,1)/$D78)^(-'설정'!$C$7))&gt;('설정'!$C$4+'설정'!$F$25),"실패",ROUND($E78*'설정'!$C$5*IF(('설정'!$C$25*IF($A78&gt;=31,1+'설정'!$C$14*'설정'!$E$25,1)/$D78)&lt;1,('설정'!$C$25*IF($A78&gt;=31,1+'설정'!$C$14*'설정'!$E$25,1)/$D78)^(-'설정'!$C$6),('설정'!$C$25*IF($A78&gt;=31,1+'설정'!$C$14*'설정'!$E$25,1)/$D78)^(-'설정'!$C$7)),0))</f>
        <v/>
      </c>
      <c r="L78" s="8">
        <f>IF($E78*'설정'!$C$5*IF(('설정'!$C$26*IF($A78&gt;=31,1+'설정'!$C$14*'설정'!$E$26,1)/$D78)&lt;1,('설정'!$C$26*IF($A78&gt;=31,1+'설정'!$C$14*'설정'!$E$26,1)/$D78)^(-'설정'!$C$6),('설정'!$C$26*IF($A78&gt;=31,1+'설정'!$C$14*'설정'!$E$26,1)/$D78)^(-'설정'!$C$7))&gt;('설정'!$C$4+'설정'!$F$26),"실패",ROUND($E78*'설정'!$C$5*IF(('설정'!$C$26*IF($A78&gt;=31,1+'설정'!$C$14*'설정'!$E$26,1)/$D78)&lt;1,('설정'!$C$26*IF($A78&gt;=31,1+'설정'!$C$14*'설정'!$E$26,1)/$D78)^(-'설정'!$C$6),('설정'!$C$26*IF($A78&gt;=31,1+'설정'!$C$14*'설정'!$E$26,1)/$D78)^(-'설정'!$C$7)),0))</f>
        <v/>
      </c>
      <c r="M78" s="8">
        <f>IF($E78*'설정'!$C$5*IF(('설정'!$C$27*IF($A78&gt;=31,1+'설정'!$C$14*'설정'!$E$27,1)/$D78)&lt;1,('설정'!$C$27*IF($A78&gt;=31,1+'설정'!$C$14*'설정'!$E$27,1)/$D78)^(-'설정'!$C$6),('설정'!$C$27*IF($A78&gt;=31,1+'설정'!$C$14*'설정'!$E$27,1)/$D78)^(-'설정'!$C$7))&gt;('설정'!$C$4+'설정'!$F$27),"실패",ROUND($E78*'설정'!$C$5*IF(('설정'!$C$27*IF($A78&gt;=31,1+'설정'!$C$14*'설정'!$E$27,1)/$D78)&lt;1,('설정'!$C$27*IF($A78&gt;=31,1+'설정'!$C$14*'설정'!$E$27,1)/$D78)^(-'설정'!$C$6),('설정'!$C$27*IF($A78&gt;=31,1+'설정'!$C$14*'설정'!$E$27,1)/$D78)^(-'설정'!$C$7)),0))</f>
        <v/>
      </c>
      <c r="N78" s="8">
        <f>IF($E78*'설정'!$C$5*IF(('설정'!$C$28*IF($A78&gt;=31,1+'설정'!$C$14*'설정'!$E$28,1)/$D78)&lt;1,('설정'!$C$28*IF($A78&gt;=31,1+'설정'!$C$14*'설정'!$E$28,1)/$D78)^(-'설정'!$C$6),('설정'!$C$28*IF($A78&gt;=31,1+'설정'!$C$14*'설정'!$E$28,1)/$D78)^(-'설정'!$C$7))&gt;('설정'!$C$4+'설정'!$F$28),"실패",ROUND($E78*'설정'!$C$5*IF(('설정'!$C$28*IF($A78&gt;=31,1+'설정'!$C$14*'설정'!$E$28,1)/$D78)&lt;1,('설정'!$C$28*IF($A78&gt;=31,1+'설정'!$C$14*'설정'!$E$28,1)/$D78)^(-'설정'!$C$6),('설정'!$C$28*IF($A78&gt;=31,1+'설정'!$C$14*'설정'!$E$28,1)/$D78)^(-'설정'!$C$7)),0))</f>
        <v/>
      </c>
      <c r="O78" s="8">
        <f>IF($E78*'설정'!$C$5*IF(('설정'!$C$29*IF($A78&gt;=31,1+'설정'!$C$14*'설정'!$E$29,1)/$D78)&lt;1,('설정'!$C$29*IF($A78&gt;=31,1+'설정'!$C$14*'설정'!$E$29,1)/$D78)^(-'설정'!$C$6),('설정'!$C$29*IF($A78&gt;=31,1+'설정'!$C$14*'설정'!$E$29,1)/$D78)^(-'설정'!$C$7))&gt;('설정'!$C$4+'설정'!$F$29),"실패",ROUND($E78*'설정'!$C$5*IF(('설정'!$C$29*IF($A78&gt;=31,1+'설정'!$C$14*'설정'!$E$29,1)/$D78)&lt;1,('설정'!$C$29*IF($A78&gt;=31,1+'설정'!$C$14*'설정'!$E$29,1)/$D78)^(-'설정'!$C$6),('설정'!$C$29*IF($A78&gt;=31,1+'설정'!$C$14*'설정'!$E$29,1)/$D78)^(-'설정'!$C$7)),0))</f>
        <v/>
      </c>
      <c r="P78" s="8">
        <f>IF($E78*'설정'!$C$5*IF(('설정'!$C$30*IF($A78&gt;=31,1+'설정'!$C$14*'설정'!$E$30,1)/$D78)&lt;1,('설정'!$C$30*IF($A78&gt;=31,1+'설정'!$C$14*'설정'!$E$30,1)/$D78)^(-'설정'!$C$6),('설정'!$C$30*IF($A78&gt;=31,1+'설정'!$C$14*'설정'!$E$30,1)/$D78)^(-'설정'!$C$7))&gt;('설정'!$C$4+'설정'!$F$30),"실패",ROUND($E78*'설정'!$C$5*IF(('설정'!$C$30*IF($A78&gt;=31,1+'설정'!$C$14*'설정'!$E$30,1)/$D78)&lt;1,('설정'!$C$30*IF($A78&gt;=31,1+'설정'!$C$14*'설정'!$E$30,1)/$D78)^(-'설정'!$C$6),('설정'!$C$30*IF($A78&gt;=31,1+'설정'!$C$14*'설정'!$E$30,1)/$D78)^(-'설정'!$C$7)),0))</f>
        <v/>
      </c>
      <c r="Q78" s="8">
        <f>IF($E78*'설정'!$C$5*IF(('설정'!$C$31*IF($A78&gt;=31,1+'설정'!$C$14*'설정'!$E$31,1)/$D78)&lt;1,('설정'!$C$31*IF($A78&gt;=31,1+'설정'!$C$14*'설정'!$E$31,1)/$D78)^(-'설정'!$C$6),('설정'!$C$31*IF($A78&gt;=31,1+'설정'!$C$14*'설정'!$E$31,1)/$D78)^(-'설정'!$C$7))&gt;('설정'!$C$4+'설정'!$F$31),"실패",ROUND($E78*'설정'!$C$5*IF(('설정'!$C$31*IF($A78&gt;=31,1+'설정'!$C$14*'설정'!$E$31,1)/$D78)&lt;1,('설정'!$C$31*IF($A78&gt;=31,1+'설정'!$C$14*'설정'!$E$31,1)/$D78)^(-'설정'!$C$6),('설정'!$C$31*IF($A78&gt;=31,1+'설정'!$C$14*'설정'!$E$31,1)/$D78)^(-'설정'!$C$7)),0))</f>
        <v/>
      </c>
      <c r="R78" s="8">
        <f>IF($E78*'설정'!$C$5*IF(('설정'!$C$32*IF($A78&gt;=31,1+'설정'!$C$14*'설정'!$E$32,1)/$D78)&lt;1,('설정'!$C$32*IF($A78&gt;=31,1+'설정'!$C$14*'설정'!$E$32,1)/$D78)^(-'설정'!$C$6),('설정'!$C$32*IF($A78&gt;=31,1+'설정'!$C$14*'설정'!$E$32,1)/$D78)^(-'설정'!$C$7))&gt;('설정'!$C$4+'설정'!$F$32),"실패",ROUND($E78*'설정'!$C$5*IF(('설정'!$C$32*IF($A78&gt;=31,1+'설정'!$C$14*'설정'!$E$32,1)/$D78)&lt;1,('설정'!$C$32*IF($A78&gt;=31,1+'설정'!$C$14*'설정'!$E$32,1)/$D78)^(-'설정'!$C$6),('설정'!$C$32*IF($A78&gt;=31,1+'설정'!$C$14*'설정'!$E$32,1)/$D78)^(-'설정'!$C$7)),0))</f>
        <v/>
      </c>
      <c r="S78" s="8">
        <f>IF($E78*'설정'!$C$5*IF(('설정'!$C$33*IF($A78&gt;=31,1+'설정'!$C$14*'설정'!$E$33,1)/$D78)&lt;1,('설정'!$C$33*IF($A78&gt;=31,1+'설정'!$C$14*'설정'!$E$33,1)/$D78)^(-'설정'!$C$6),('설정'!$C$33*IF($A78&gt;=31,1+'설정'!$C$14*'설정'!$E$33,1)/$D78)^(-'설정'!$C$7))&gt;('설정'!$C$4+'설정'!$F$33),"실패",ROUND($E78*'설정'!$C$5*IF(('설정'!$C$33*IF($A78&gt;=31,1+'설정'!$C$14*'설정'!$E$33,1)/$D78)&lt;1,('설정'!$C$33*IF($A78&gt;=31,1+'설정'!$C$14*'설정'!$E$33,1)/$D78)^(-'설정'!$C$6),('설정'!$C$33*IF($A78&gt;=31,1+'설정'!$C$14*'설정'!$E$33,1)/$D78)^(-'설정'!$C$7)),0))</f>
        <v/>
      </c>
      <c r="T78" s="8">
        <f>IF($E78*'설정'!$C$5*IF(('설정'!$C$34*IF($A78&gt;=31,1+'설정'!$C$14*'설정'!$E$34,1)/$D78)&lt;1,('설정'!$C$34*IF($A78&gt;=31,1+'설정'!$C$14*'설정'!$E$34,1)/$D78)^(-'설정'!$C$6),('설정'!$C$34*IF($A78&gt;=31,1+'설정'!$C$14*'설정'!$E$34,1)/$D78)^(-'설정'!$C$7))&gt;('설정'!$C$4+'설정'!$F$34),"실패",ROUND($E78*'설정'!$C$5*IF(('설정'!$C$34*IF($A78&gt;=31,1+'설정'!$C$14*'설정'!$E$34,1)/$D78)&lt;1,('설정'!$C$34*IF($A78&gt;=31,1+'설정'!$C$14*'설정'!$E$34,1)/$D78)^(-'설정'!$C$6),('설정'!$C$34*IF($A78&gt;=31,1+'설정'!$C$14*'설정'!$E$34,1)/$D78)^(-'설정'!$C$7)),0))</f>
        <v/>
      </c>
      <c r="U78" s="8">
        <f>IF($E78*'설정'!$C$5*IF(('설정'!$C$35*IF($A78&gt;=31,1+'설정'!$C$14*'설정'!$E$35,1)/$D78)&lt;1,('설정'!$C$35*IF($A78&gt;=31,1+'설정'!$C$14*'설정'!$E$35,1)/$D78)^(-'설정'!$C$6),('설정'!$C$35*IF($A78&gt;=31,1+'설정'!$C$14*'설정'!$E$35,1)/$D78)^(-'설정'!$C$7))&gt;('설정'!$C$4+'설정'!$F$35),"실패",ROUND($E78*'설정'!$C$5*IF(('설정'!$C$35*IF($A78&gt;=31,1+'설정'!$C$14*'설정'!$E$35,1)/$D78)&lt;1,('설정'!$C$35*IF($A78&gt;=31,1+'설정'!$C$14*'설정'!$E$35,1)/$D78)^(-'설정'!$C$6),('설정'!$C$35*IF($A78&gt;=31,1+'설정'!$C$14*'설정'!$E$35,1)/$D78)^(-'설정'!$C$7)),0))</f>
        <v/>
      </c>
      <c r="V78" s="8">
        <f>IF($E78*'설정'!$C$5*IF(('설정'!$C$36*IF($A78&gt;=31,1+'설정'!$C$14*'설정'!$E$36,1)/$D78)&lt;1,('설정'!$C$36*IF($A78&gt;=31,1+'설정'!$C$14*'설정'!$E$36,1)/$D78)^(-'설정'!$C$6),('설정'!$C$36*IF($A78&gt;=31,1+'설정'!$C$14*'설정'!$E$36,1)/$D78)^(-'설정'!$C$7))&gt;('설정'!$C$4+'설정'!$F$36),"실패",ROUND($E78*'설정'!$C$5*IF(('설정'!$C$36*IF($A78&gt;=31,1+'설정'!$C$14*'설정'!$E$36,1)/$D78)&lt;1,('설정'!$C$36*IF($A78&gt;=31,1+'설정'!$C$14*'설정'!$E$36,1)/$D78)^(-'설정'!$C$6),('설정'!$C$36*IF($A78&gt;=31,1+'설정'!$C$14*'설정'!$E$36,1)/$D78)^(-'설정'!$C$7)),0))</f>
        <v/>
      </c>
      <c r="W78" s="8">
        <f>IF($E78*'설정'!$C$5*IF(('설정'!$C$37*IF($A78&gt;=31,1+'설정'!$C$14*'설정'!$E$37,1)/$D78)&lt;1,('설정'!$C$37*IF($A78&gt;=31,1+'설정'!$C$14*'설정'!$E$37,1)/$D78)^(-'설정'!$C$6),('설정'!$C$37*IF($A78&gt;=31,1+'설정'!$C$14*'설정'!$E$37,1)/$D78)^(-'설정'!$C$7))&gt;('설정'!$C$4+'설정'!$F$37),"실패",ROUND($E78*'설정'!$C$5*IF(('설정'!$C$37*IF($A78&gt;=31,1+'설정'!$C$14*'설정'!$E$37,1)/$D78)&lt;1,('설정'!$C$37*IF($A78&gt;=31,1+'설정'!$C$14*'설정'!$E$37,1)/$D78)^(-'설정'!$C$6),('설정'!$C$37*IF($A78&gt;=31,1+'설정'!$C$14*'설정'!$E$37,1)/$D78)^(-'설정'!$C$7)),0))</f>
        <v/>
      </c>
    </row>
    <row r="79">
      <c r="A79" t="n">
        <v>77</v>
      </c>
      <c r="B79" t="inlineStr">
        <is>
          <t>보통</t>
        </is>
      </c>
      <c r="C79" t="inlineStr"/>
      <c r="D79" s="6" t="n">
        <v>17000000</v>
      </c>
      <c r="E79" t="n">
        <v>72</v>
      </c>
      <c r="F79" s="6" t="n">
        <v>340000</v>
      </c>
      <c r="G79" t="n">
        <v>73</v>
      </c>
      <c r="H79" s="8">
        <f>IF($E79*'설정'!$C$5*IF(('설정'!$C$22*IF($A79&gt;=31,1+'설정'!$C$14*'설정'!$E$22,1)/$D79)&lt;1,('설정'!$C$22*IF($A79&gt;=31,1+'설정'!$C$14*'설정'!$E$22,1)/$D79)^(-'설정'!$C$6),('설정'!$C$22*IF($A79&gt;=31,1+'설정'!$C$14*'설정'!$E$22,1)/$D79)^(-'설정'!$C$7))&gt;('설정'!$C$4+'설정'!$F$22),"실패",ROUND($E79*'설정'!$C$5*IF(('설정'!$C$22*IF($A79&gt;=31,1+'설정'!$C$14*'설정'!$E$22,1)/$D79)&lt;1,('설정'!$C$22*IF($A79&gt;=31,1+'설정'!$C$14*'설정'!$E$22,1)/$D79)^(-'설정'!$C$6),('설정'!$C$22*IF($A79&gt;=31,1+'설정'!$C$14*'설정'!$E$22,1)/$D79)^(-'설정'!$C$7)),0))</f>
        <v/>
      </c>
      <c r="I79" s="8">
        <f>IF($E79*'설정'!$C$5*IF(('설정'!$C$23*IF($A79&gt;=31,1+'설정'!$C$14*'설정'!$E$23,1)/$D79)&lt;1,('설정'!$C$23*IF($A79&gt;=31,1+'설정'!$C$14*'설정'!$E$23,1)/$D79)^(-'설정'!$C$6),('설정'!$C$23*IF($A79&gt;=31,1+'설정'!$C$14*'설정'!$E$23,1)/$D79)^(-'설정'!$C$7))&gt;('설정'!$C$4+'설정'!$F$23),"실패",ROUND($E79*'설정'!$C$5*IF(('설정'!$C$23*IF($A79&gt;=31,1+'설정'!$C$14*'설정'!$E$23,1)/$D79)&lt;1,('설정'!$C$23*IF($A79&gt;=31,1+'설정'!$C$14*'설정'!$E$23,1)/$D79)^(-'설정'!$C$6),('설정'!$C$23*IF($A79&gt;=31,1+'설정'!$C$14*'설정'!$E$23,1)/$D79)^(-'설정'!$C$7)),0))</f>
        <v/>
      </c>
      <c r="J79" s="8">
        <f>IF($E79*'설정'!$C$5*IF(('설정'!$C$24*IF($A79&gt;=31,1+'설정'!$C$14*'설정'!$E$24,1)/$D79)&lt;1,('설정'!$C$24*IF($A79&gt;=31,1+'설정'!$C$14*'설정'!$E$24,1)/$D79)^(-'설정'!$C$6),('설정'!$C$24*IF($A79&gt;=31,1+'설정'!$C$14*'설정'!$E$24,1)/$D79)^(-'설정'!$C$7))&gt;('설정'!$C$4+'설정'!$F$24),"실패",ROUND($E79*'설정'!$C$5*IF(('설정'!$C$24*IF($A79&gt;=31,1+'설정'!$C$14*'설정'!$E$24,1)/$D79)&lt;1,('설정'!$C$24*IF($A79&gt;=31,1+'설정'!$C$14*'설정'!$E$24,1)/$D79)^(-'설정'!$C$6),('설정'!$C$24*IF($A79&gt;=31,1+'설정'!$C$14*'설정'!$E$24,1)/$D79)^(-'설정'!$C$7)),0))</f>
        <v/>
      </c>
      <c r="K79" s="8">
        <f>IF($E79*'설정'!$C$5*IF(('설정'!$C$25*IF($A79&gt;=31,1+'설정'!$C$14*'설정'!$E$25,1)/$D79)&lt;1,('설정'!$C$25*IF($A79&gt;=31,1+'설정'!$C$14*'설정'!$E$25,1)/$D79)^(-'설정'!$C$6),('설정'!$C$25*IF($A79&gt;=31,1+'설정'!$C$14*'설정'!$E$25,1)/$D79)^(-'설정'!$C$7))&gt;('설정'!$C$4+'설정'!$F$25),"실패",ROUND($E79*'설정'!$C$5*IF(('설정'!$C$25*IF($A79&gt;=31,1+'설정'!$C$14*'설정'!$E$25,1)/$D79)&lt;1,('설정'!$C$25*IF($A79&gt;=31,1+'설정'!$C$14*'설정'!$E$25,1)/$D79)^(-'설정'!$C$6),('설정'!$C$25*IF($A79&gt;=31,1+'설정'!$C$14*'설정'!$E$25,1)/$D79)^(-'설정'!$C$7)),0))</f>
        <v/>
      </c>
      <c r="L79" s="8">
        <f>IF($E79*'설정'!$C$5*IF(('설정'!$C$26*IF($A79&gt;=31,1+'설정'!$C$14*'설정'!$E$26,1)/$D79)&lt;1,('설정'!$C$26*IF($A79&gt;=31,1+'설정'!$C$14*'설정'!$E$26,1)/$D79)^(-'설정'!$C$6),('설정'!$C$26*IF($A79&gt;=31,1+'설정'!$C$14*'설정'!$E$26,1)/$D79)^(-'설정'!$C$7))&gt;('설정'!$C$4+'설정'!$F$26),"실패",ROUND($E79*'설정'!$C$5*IF(('설정'!$C$26*IF($A79&gt;=31,1+'설정'!$C$14*'설정'!$E$26,1)/$D79)&lt;1,('설정'!$C$26*IF($A79&gt;=31,1+'설정'!$C$14*'설정'!$E$26,1)/$D79)^(-'설정'!$C$6),('설정'!$C$26*IF($A79&gt;=31,1+'설정'!$C$14*'설정'!$E$26,1)/$D79)^(-'설정'!$C$7)),0))</f>
        <v/>
      </c>
      <c r="M79" s="8">
        <f>IF($E79*'설정'!$C$5*IF(('설정'!$C$27*IF($A79&gt;=31,1+'설정'!$C$14*'설정'!$E$27,1)/$D79)&lt;1,('설정'!$C$27*IF($A79&gt;=31,1+'설정'!$C$14*'설정'!$E$27,1)/$D79)^(-'설정'!$C$6),('설정'!$C$27*IF($A79&gt;=31,1+'설정'!$C$14*'설정'!$E$27,1)/$D79)^(-'설정'!$C$7))&gt;('설정'!$C$4+'설정'!$F$27),"실패",ROUND($E79*'설정'!$C$5*IF(('설정'!$C$27*IF($A79&gt;=31,1+'설정'!$C$14*'설정'!$E$27,1)/$D79)&lt;1,('설정'!$C$27*IF($A79&gt;=31,1+'설정'!$C$14*'설정'!$E$27,1)/$D79)^(-'설정'!$C$6),('설정'!$C$27*IF($A79&gt;=31,1+'설정'!$C$14*'설정'!$E$27,1)/$D79)^(-'설정'!$C$7)),0))</f>
        <v/>
      </c>
      <c r="N79" s="8">
        <f>IF($E79*'설정'!$C$5*IF(('설정'!$C$28*IF($A79&gt;=31,1+'설정'!$C$14*'설정'!$E$28,1)/$D79)&lt;1,('설정'!$C$28*IF($A79&gt;=31,1+'설정'!$C$14*'설정'!$E$28,1)/$D79)^(-'설정'!$C$6),('설정'!$C$28*IF($A79&gt;=31,1+'설정'!$C$14*'설정'!$E$28,1)/$D79)^(-'설정'!$C$7))&gt;('설정'!$C$4+'설정'!$F$28),"실패",ROUND($E79*'설정'!$C$5*IF(('설정'!$C$28*IF($A79&gt;=31,1+'설정'!$C$14*'설정'!$E$28,1)/$D79)&lt;1,('설정'!$C$28*IF($A79&gt;=31,1+'설정'!$C$14*'설정'!$E$28,1)/$D79)^(-'설정'!$C$6),('설정'!$C$28*IF($A79&gt;=31,1+'설정'!$C$14*'설정'!$E$28,1)/$D79)^(-'설정'!$C$7)),0))</f>
        <v/>
      </c>
      <c r="O79" s="8">
        <f>IF($E79*'설정'!$C$5*IF(('설정'!$C$29*IF($A79&gt;=31,1+'설정'!$C$14*'설정'!$E$29,1)/$D79)&lt;1,('설정'!$C$29*IF($A79&gt;=31,1+'설정'!$C$14*'설정'!$E$29,1)/$D79)^(-'설정'!$C$6),('설정'!$C$29*IF($A79&gt;=31,1+'설정'!$C$14*'설정'!$E$29,1)/$D79)^(-'설정'!$C$7))&gt;('설정'!$C$4+'설정'!$F$29),"실패",ROUND($E79*'설정'!$C$5*IF(('설정'!$C$29*IF($A79&gt;=31,1+'설정'!$C$14*'설정'!$E$29,1)/$D79)&lt;1,('설정'!$C$29*IF($A79&gt;=31,1+'설정'!$C$14*'설정'!$E$29,1)/$D79)^(-'설정'!$C$6),('설정'!$C$29*IF($A79&gt;=31,1+'설정'!$C$14*'설정'!$E$29,1)/$D79)^(-'설정'!$C$7)),0))</f>
        <v/>
      </c>
      <c r="P79" s="8">
        <f>IF($E79*'설정'!$C$5*IF(('설정'!$C$30*IF($A79&gt;=31,1+'설정'!$C$14*'설정'!$E$30,1)/$D79)&lt;1,('설정'!$C$30*IF($A79&gt;=31,1+'설정'!$C$14*'설정'!$E$30,1)/$D79)^(-'설정'!$C$6),('설정'!$C$30*IF($A79&gt;=31,1+'설정'!$C$14*'설정'!$E$30,1)/$D79)^(-'설정'!$C$7))&gt;('설정'!$C$4+'설정'!$F$30),"실패",ROUND($E79*'설정'!$C$5*IF(('설정'!$C$30*IF($A79&gt;=31,1+'설정'!$C$14*'설정'!$E$30,1)/$D79)&lt;1,('설정'!$C$30*IF($A79&gt;=31,1+'설정'!$C$14*'설정'!$E$30,1)/$D79)^(-'설정'!$C$6),('설정'!$C$30*IF($A79&gt;=31,1+'설정'!$C$14*'설정'!$E$30,1)/$D79)^(-'설정'!$C$7)),0))</f>
        <v/>
      </c>
      <c r="Q79" s="8">
        <f>IF($E79*'설정'!$C$5*IF(('설정'!$C$31*IF($A79&gt;=31,1+'설정'!$C$14*'설정'!$E$31,1)/$D79)&lt;1,('설정'!$C$31*IF($A79&gt;=31,1+'설정'!$C$14*'설정'!$E$31,1)/$D79)^(-'설정'!$C$6),('설정'!$C$31*IF($A79&gt;=31,1+'설정'!$C$14*'설정'!$E$31,1)/$D79)^(-'설정'!$C$7))&gt;('설정'!$C$4+'설정'!$F$31),"실패",ROUND($E79*'설정'!$C$5*IF(('설정'!$C$31*IF($A79&gt;=31,1+'설정'!$C$14*'설정'!$E$31,1)/$D79)&lt;1,('설정'!$C$31*IF($A79&gt;=31,1+'설정'!$C$14*'설정'!$E$31,1)/$D79)^(-'설정'!$C$6),('설정'!$C$31*IF($A79&gt;=31,1+'설정'!$C$14*'설정'!$E$31,1)/$D79)^(-'설정'!$C$7)),0))</f>
        <v/>
      </c>
      <c r="R79" s="8">
        <f>IF($E79*'설정'!$C$5*IF(('설정'!$C$32*IF($A79&gt;=31,1+'설정'!$C$14*'설정'!$E$32,1)/$D79)&lt;1,('설정'!$C$32*IF($A79&gt;=31,1+'설정'!$C$14*'설정'!$E$32,1)/$D79)^(-'설정'!$C$6),('설정'!$C$32*IF($A79&gt;=31,1+'설정'!$C$14*'설정'!$E$32,1)/$D79)^(-'설정'!$C$7))&gt;('설정'!$C$4+'설정'!$F$32),"실패",ROUND($E79*'설정'!$C$5*IF(('설정'!$C$32*IF($A79&gt;=31,1+'설정'!$C$14*'설정'!$E$32,1)/$D79)&lt;1,('설정'!$C$32*IF($A79&gt;=31,1+'설정'!$C$14*'설정'!$E$32,1)/$D79)^(-'설정'!$C$6),('설정'!$C$32*IF($A79&gt;=31,1+'설정'!$C$14*'설정'!$E$32,1)/$D79)^(-'설정'!$C$7)),0))</f>
        <v/>
      </c>
      <c r="S79" s="8">
        <f>IF($E79*'설정'!$C$5*IF(('설정'!$C$33*IF($A79&gt;=31,1+'설정'!$C$14*'설정'!$E$33,1)/$D79)&lt;1,('설정'!$C$33*IF($A79&gt;=31,1+'설정'!$C$14*'설정'!$E$33,1)/$D79)^(-'설정'!$C$6),('설정'!$C$33*IF($A79&gt;=31,1+'설정'!$C$14*'설정'!$E$33,1)/$D79)^(-'설정'!$C$7))&gt;('설정'!$C$4+'설정'!$F$33),"실패",ROUND($E79*'설정'!$C$5*IF(('설정'!$C$33*IF($A79&gt;=31,1+'설정'!$C$14*'설정'!$E$33,1)/$D79)&lt;1,('설정'!$C$33*IF($A79&gt;=31,1+'설정'!$C$14*'설정'!$E$33,1)/$D79)^(-'설정'!$C$6),('설정'!$C$33*IF($A79&gt;=31,1+'설정'!$C$14*'설정'!$E$33,1)/$D79)^(-'설정'!$C$7)),0))</f>
        <v/>
      </c>
      <c r="T79" s="8">
        <f>IF($E79*'설정'!$C$5*IF(('설정'!$C$34*IF($A79&gt;=31,1+'설정'!$C$14*'설정'!$E$34,1)/$D79)&lt;1,('설정'!$C$34*IF($A79&gt;=31,1+'설정'!$C$14*'설정'!$E$34,1)/$D79)^(-'설정'!$C$6),('설정'!$C$34*IF($A79&gt;=31,1+'설정'!$C$14*'설정'!$E$34,1)/$D79)^(-'설정'!$C$7))&gt;('설정'!$C$4+'설정'!$F$34),"실패",ROUND($E79*'설정'!$C$5*IF(('설정'!$C$34*IF($A79&gt;=31,1+'설정'!$C$14*'설정'!$E$34,1)/$D79)&lt;1,('설정'!$C$34*IF($A79&gt;=31,1+'설정'!$C$14*'설정'!$E$34,1)/$D79)^(-'설정'!$C$6),('설정'!$C$34*IF($A79&gt;=31,1+'설정'!$C$14*'설정'!$E$34,1)/$D79)^(-'설정'!$C$7)),0))</f>
        <v/>
      </c>
      <c r="U79" s="8">
        <f>IF($E79*'설정'!$C$5*IF(('설정'!$C$35*IF($A79&gt;=31,1+'설정'!$C$14*'설정'!$E$35,1)/$D79)&lt;1,('설정'!$C$35*IF($A79&gt;=31,1+'설정'!$C$14*'설정'!$E$35,1)/$D79)^(-'설정'!$C$6),('설정'!$C$35*IF($A79&gt;=31,1+'설정'!$C$14*'설정'!$E$35,1)/$D79)^(-'설정'!$C$7))&gt;('설정'!$C$4+'설정'!$F$35),"실패",ROUND($E79*'설정'!$C$5*IF(('설정'!$C$35*IF($A79&gt;=31,1+'설정'!$C$14*'설정'!$E$35,1)/$D79)&lt;1,('설정'!$C$35*IF($A79&gt;=31,1+'설정'!$C$14*'설정'!$E$35,1)/$D79)^(-'설정'!$C$6),('설정'!$C$35*IF($A79&gt;=31,1+'설정'!$C$14*'설정'!$E$35,1)/$D79)^(-'설정'!$C$7)),0))</f>
        <v/>
      </c>
      <c r="V79" s="8">
        <f>IF($E79*'설정'!$C$5*IF(('설정'!$C$36*IF($A79&gt;=31,1+'설정'!$C$14*'설정'!$E$36,1)/$D79)&lt;1,('설정'!$C$36*IF($A79&gt;=31,1+'설정'!$C$14*'설정'!$E$36,1)/$D79)^(-'설정'!$C$6),('설정'!$C$36*IF($A79&gt;=31,1+'설정'!$C$14*'설정'!$E$36,1)/$D79)^(-'설정'!$C$7))&gt;('설정'!$C$4+'설정'!$F$36),"실패",ROUND($E79*'설정'!$C$5*IF(('설정'!$C$36*IF($A79&gt;=31,1+'설정'!$C$14*'설정'!$E$36,1)/$D79)&lt;1,('설정'!$C$36*IF($A79&gt;=31,1+'설정'!$C$14*'설정'!$E$36,1)/$D79)^(-'설정'!$C$6),('설정'!$C$36*IF($A79&gt;=31,1+'설정'!$C$14*'설정'!$E$36,1)/$D79)^(-'설정'!$C$7)),0))</f>
        <v/>
      </c>
      <c r="W79" s="8">
        <f>IF($E79*'설정'!$C$5*IF(('설정'!$C$37*IF($A79&gt;=31,1+'설정'!$C$14*'설정'!$E$37,1)/$D79)&lt;1,('설정'!$C$37*IF($A79&gt;=31,1+'설정'!$C$14*'설정'!$E$37,1)/$D79)^(-'설정'!$C$6),('설정'!$C$37*IF($A79&gt;=31,1+'설정'!$C$14*'설정'!$E$37,1)/$D79)^(-'설정'!$C$7))&gt;('설정'!$C$4+'설정'!$F$37),"실패",ROUND($E79*'설정'!$C$5*IF(('설정'!$C$37*IF($A79&gt;=31,1+'설정'!$C$14*'설정'!$E$37,1)/$D79)&lt;1,('설정'!$C$37*IF($A79&gt;=31,1+'설정'!$C$14*'설정'!$E$37,1)/$D79)^(-'설정'!$C$6),('설정'!$C$37*IF($A79&gt;=31,1+'설정'!$C$14*'설정'!$E$37,1)/$D79)^(-'설정'!$C$7)),0))</f>
        <v/>
      </c>
    </row>
    <row r="80">
      <c r="A80" t="n">
        <v>78</v>
      </c>
      <c r="B80" t="inlineStr">
        <is>
          <t>보통</t>
        </is>
      </c>
      <c r="C80" t="inlineStr"/>
      <c r="D80" s="6" t="n">
        <v>18000000</v>
      </c>
      <c r="E80" t="n">
        <v>72</v>
      </c>
      <c r="F80" s="6" t="n">
        <v>361000</v>
      </c>
      <c r="G80" t="n">
        <v>74</v>
      </c>
      <c r="H80" s="8">
        <f>IF($E80*'설정'!$C$5*IF(('설정'!$C$22*IF($A80&gt;=31,1+'설정'!$C$14*'설정'!$E$22,1)/$D80)&lt;1,('설정'!$C$22*IF($A80&gt;=31,1+'설정'!$C$14*'설정'!$E$22,1)/$D80)^(-'설정'!$C$6),('설정'!$C$22*IF($A80&gt;=31,1+'설정'!$C$14*'설정'!$E$22,1)/$D80)^(-'설정'!$C$7))&gt;('설정'!$C$4+'설정'!$F$22),"실패",ROUND($E80*'설정'!$C$5*IF(('설정'!$C$22*IF($A80&gt;=31,1+'설정'!$C$14*'설정'!$E$22,1)/$D80)&lt;1,('설정'!$C$22*IF($A80&gt;=31,1+'설정'!$C$14*'설정'!$E$22,1)/$D80)^(-'설정'!$C$6),('설정'!$C$22*IF($A80&gt;=31,1+'설정'!$C$14*'설정'!$E$22,1)/$D80)^(-'설정'!$C$7)),0))</f>
        <v/>
      </c>
      <c r="I80" s="8">
        <f>IF($E80*'설정'!$C$5*IF(('설정'!$C$23*IF($A80&gt;=31,1+'설정'!$C$14*'설정'!$E$23,1)/$D80)&lt;1,('설정'!$C$23*IF($A80&gt;=31,1+'설정'!$C$14*'설정'!$E$23,1)/$D80)^(-'설정'!$C$6),('설정'!$C$23*IF($A80&gt;=31,1+'설정'!$C$14*'설정'!$E$23,1)/$D80)^(-'설정'!$C$7))&gt;('설정'!$C$4+'설정'!$F$23),"실패",ROUND($E80*'설정'!$C$5*IF(('설정'!$C$23*IF($A80&gt;=31,1+'설정'!$C$14*'설정'!$E$23,1)/$D80)&lt;1,('설정'!$C$23*IF($A80&gt;=31,1+'설정'!$C$14*'설정'!$E$23,1)/$D80)^(-'설정'!$C$6),('설정'!$C$23*IF($A80&gt;=31,1+'설정'!$C$14*'설정'!$E$23,1)/$D80)^(-'설정'!$C$7)),0))</f>
        <v/>
      </c>
      <c r="J80" s="8">
        <f>IF($E80*'설정'!$C$5*IF(('설정'!$C$24*IF($A80&gt;=31,1+'설정'!$C$14*'설정'!$E$24,1)/$D80)&lt;1,('설정'!$C$24*IF($A80&gt;=31,1+'설정'!$C$14*'설정'!$E$24,1)/$D80)^(-'설정'!$C$6),('설정'!$C$24*IF($A80&gt;=31,1+'설정'!$C$14*'설정'!$E$24,1)/$D80)^(-'설정'!$C$7))&gt;('설정'!$C$4+'설정'!$F$24),"실패",ROUND($E80*'설정'!$C$5*IF(('설정'!$C$24*IF($A80&gt;=31,1+'설정'!$C$14*'설정'!$E$24,1)/$D80)&lt;1,('설정'!$C$24*IF($A80&gt;=31,1+'설정'!$C$14*'설정'!$E$24,1)/$D80)^(-'설정'!$C$6),('설정'!$C$24*IF($A80&gt;=31,1+'설정'!$C$14*'설정'!$E$24,1)/$D80)^(-'설정'!$C$7)),0))</f>
        <v/>
      </c>
      <c r="K80" s="8">
        <f>IF($E80*'설정'!$C$5*IF(('설정'!$C$25*IF($A80&gt;=31,1+'설정'!$C$14*'설정'!$E$25,1)/$D80)&lt;1,('설정'!$C$25*IF($A80&gt;=31,1+'설정'!$C$14*'설정'!$E$25,1)/$D80)^(-'설정'!$C$6),('설정'!$C$25*IF($A80&gt;=31,1+'설정'!$C$14*'설정'!$E$25,1)/$D80)^(-'설정'!$C$7))&gt;('설정'!$C$4+'설정'!$F$25),"실패",ROUND($E80*'설정'!$C$5*IF(('설정'!$C$25*IF($A80&gt;=31,1+'설정'!$C$14*'설정'!$E$25,1)/$D80)&lt;1,('설정'!$C$25*IF($A80&gt;=31,1+'설정'!$C$14*'설정'!$E$25,1)/$D80)^(-'설정'!$C$6),('설정'!$C$25*IF($A80&gt;=31,1+'설정'!$C$14*'설정'!$E$25,1)/$D80)^(-'설정'!$C$7)),0))</f>
        <v/>
      </c>
      <c r="L80" s="8">
        <f>IF($E80*'설정'!$C$5*IF(('설정'!$C$26*IF($A80&gt;=31,1+'설정'!$C$14*'설정'!$E$26,1)/$D80)&lt;1,('설정'!$C$26*IF($A80&gt;=31,1+'설정'!$C$14*'설정'!$E$26,1)/$D80)^(-'설정'!$C$6),('설정'!$C$26*IF($A80&gt;=31,1+'설정'!$C$14*'설정'!$E$26,1)/$D80)^(-'설정'!$C$7))&gt;('설정'!$C$4+'설정'!$F$26),"실패",ROUND($E80*'설정'!$C$5*IF(('설정'!$C$26*IF($A80&gt;=31,1+'설정'!$C$14*'설정'!$E$26,1)/$D80)&lt;1,('설정'!$C$26*IF($A80&gt;=31,1+'설정'!$C$14*'설정'!$E$26,1)/$D80)^(-'설정'!$C$6),('설정'!$C$26*IF($A80&gt;=31,1+'설정'!$C$14*'설정'!$E$26,1)/$D80)^(-'설정'!$C$7)),0))</f>
        <v/>
      </c>
      <c r="M80" s="8">
        <f>IF($E80*'설정'!$C$5*IF(('설정'!$C$27*IF($A80&gt;=31,1+'설정'!$C$14*'설정'!$E$27,1)/$D80)&lt;1,('설정'!$C$27*IF($A80&gt;=31,1+'설정'!$C$14*'설정'!$E$27,1)/$D80)^(-'설정'!$C$6),('설정'!$C$27*IF($A80&gt;=31,1+'설정'!$C$14*'설정'!$E$27,1)/$D80)^(-'설정'!$C$7))&gt;('설정'!$C$4+'설정'!$F$27),"실패",ROUND($E80*'설정'!$C$5*IF(('설정'!$C$27*IF($A80&gt;=31,1+'설정'!$C$14*'설정'!$E$27,1)/$D80)&lt;1,('설정'!$C$27*IF($A80&gt;=31,1+'설정'!$C$14*'설정'!$E$27,1)/$D80)^(-'설정'!$C$6),('설정'!$C$27*IF($A80&gt;=31,1+'설정'!$C$14*'설정'!$E$27,1)/$D80)^(-'설정'!$C$7)),0))</f>
        <v/>
      </c>
      <c r="N80" s="8">
        <f>IF($E80*'설정'!$C$5*IF(('설정'!$C$28*IF($A80&gt;=31,1+'설정'!$C$14*'설정'!$E$28,1)/$D80)&lt;1,('설정'!$C$28*IF($A80&gt;=31,1+'설정'!$C$14*'설정'!$E$28,1)/$D80)^(-'설정'!$C$6),('설정'!$C$28*IF($A80&gt;=31,1+'설정'!$C$14*'설정'!$E$28,1)/$D80)^(-'설정'!$C$7))&gt;('설정'!$C$4+'설정'!$F$28),"실패",ROUND($E80*'설정'!$C$5*IF(('설정'!$C$28*IF($A80&gt;=31,1+'설정'!$C$14*'설정'!$E$28,1)/$D80)&lt;1,('설정'!$C$28*IF($A80&gt;=31,1+'설정'!$C$14*'설정'!$E$28,1)/$D80)^(-'설정'!$C$6),('설정'!$C$28*IF($A80&gt;=31,1+'설정'!$C$14*'설정'!$E$28,1)/$D80)^(-'설정'!$C$7)),0))</f>
        <v/>
      </c>
      <c r="O80" s="8">
        <f>IF($E80*'설정'!$C$5*IF(('설정'!$C$29*IF($A80&gt;=31,1+'설정'!$C$14*'설정'!$E$29,1)/$D80)&lt;1,('설정'!$C$29*IF($A80&gt;=31,1+'설정'!$C$14*'설정'!$E$29,1)/$D80)^(-'설정'!$C$6),('설정'!$C$29*IF($A80&gt;=31,1+'설정'!$C$14*'설정'!$E$29,1)/$D80)^(-'설정'!$C$7))&gt;('설정'!$C$4+'설정'!$F$29),"실패",ROUND($E80*'설정'!$C$5*IF(('설정'!$C$29*IF($A80&gt;=31,1+'설정'!$C$14*'설정'!$E$29,1)/$D80)&lt;1,('설정'!$C$29*IF($A80&gt;=31,1+'설정'!$C$14*'설정'!$E$29,1)/$D80)^(-'설정'!$C$6),('설정'!$C$29*IF($A80&gt;=31,1+'설정'!$C$14*'설정'!$E$29,1)/$D80)^(-'설정'!$C$7)),0))</f>
        <v/>
      </c>
      <c r="P80" s="8">
        <f>IF($E80*'설정'!$C$5*IF(('설정'!$C$30*IF($A80&gt;=31,1+'설정'!$C$14*'설정'!$E$30,1)/$D80)&lt;1,('설정'!$C$30*IF($A80&gt;=31,1+'설정'!$C$14*'설정'!$E$30,1)/$D80)^(-'설정'!$C$6),('설정'!$C$30*IF($A80&gt;=31,1+'설정'!$C$14*'설정'!$E$30,1)/$D80)^(-'설정'!$C$7))&gt;('설정'!$C$4+'설정'!$F$30),"실패",ROUND($E80*'설정'!$C$5*IF(('설정'!$C$30*IF($A80&gt;=31,1+'설정'!$C$14*'설정'!$E$30,1)/$D80)&lt;1,('설정'!$C$30*IF($A80&gt;=31,1+'설정'!$C$14*'설정'!$E$30,1)/$D80)^(-'설정'!$C$6),('설정'!$C$30*IF($A80&gt;=31,1+'설정'!$C$14*'설정'!$E$30,1)/$D80)^(-'설정'!$C$7)),0))</f>
        <v/>
      </c>
      <c r="Q80" s="8">
        <f>IF($E80*'설정'!$C$5*IF(('설정'!$C$31*IF($A80&gt;=31,1+'설정'!$C$14*'설정'!$E$31,1)/$D80)&lt;1,('설정'!$C$31*IF($A80&gt;=31,1+'설정'!$C$14*'설정'!$E$31,1)/$D80)^(-'설정'!$C$6),('설정'!$C$31*IF($A80&gt;=31,1+'설정'!$C$14*'설정'!$E$31,1)/$D80)^(-'설정'!$C$7))&gt;('설정'!$C$4+'설정'!$F$31),"실패",ROUND($E80*'설정'!$C$5*IF(('설정'!$C$31*IF($A80&gt;=31,1+'설정'!$C$14*'설정'!$E$31,1)/$D80)&lt;1,('설정'!$C$31*IF($A80&gt;=31,1+'설정'!$C$14*'설정'!$E$31,1)/$D80)^(-'설정'!$C$6),('설정'!$C$31*IF($A80&gt;=31,1+'설정'!$C$14*'설정'!$E$31,1)/$D80)^(-'설정'!$C$7)),0))</f>
        <v/>
      </c>
      <c r="R80" s="8">
        <f>IF($E80*'설정'!$C$5*IF(('설정'!$C$32*IF($A80&gt;=31,1+'설정'!$C$14*'설정'!$E$32,1)/$D80)&lt;1,('설정'!$C$32*IF($A80&gt;=31,1+'설정'!$C$14*'설정'!$E$32,1)/$D80)^(-'설정'!$C$6),('설정'!$C$32*IF($A80&gt;=31,1+'설정'!$C$14*'설정'!$E$32,1)/$D80)^(-'설정'!$C$7))&gt;('설정'!$C$4+'설정'!$F$32),"실패",ROUND($E80*'설정'!$C$5*IF(('설정'!$C$32*IF($A80&gt;=31,1+'설정'!$C$14*'설정'!$E$32,1)/$D80)&lt;1,('설정'!$C$32*IF($A80&gt;=31,1+'설정'!$C$14*'설정'!$E$32,1)/$D80)^(-'설정'!$C$6),('설정'!$C$32*IF($A80&gt;=31,1+'설정'!$C$14*'설정'!$E$32,1)/$D80)^(-'설정'!$C$7)),0))</f>
        <v/>
      </c>
      <c r="S80" s="8">
        <f>IF($E80*'설정'!$C$5*IF(('설정'!$C$33*IF($A80&gt;=31,1+'설정'!$C$14*'설정'!$E$33,1)/$D80)&lt;1,('설정'!$C$33*IF($A80&gt;=31,1+'설정'!$C$14*'설정'!$E$33,1)/$D80)^(-'설정'!$C$6),('설정'!$C$33*IF($A80&gt;=31,1+'설정'!$C$14*'설정'!$E$33,1)/$D80)^(-'설정'!$C$7))&gt;('설정'!$C$4+'설정'!$F$33),"실패",ROUND($E80*'설정'!$C$5*IF(('설정'!$C$33*IF($A80&gt;=31,1+'설정'!$C$14*'설정'!$E$33,1)/$D80)&lt;1,('설정'!$C$33*IF($A80&gt;=31,1+'설정'!$C$14*'설정'!$E$33,1)/$D80)^(-'설정'!$C$6),('설정'!$C$33*IF($A80&gt;=31,1+'설정'!$C$14*'설정'!$E$33,1)/$D80)^(-'설정'!$C$7)),0))</f>
        <v/>
      </c>
      <c r="T80" s="8">
        <f>IF($E80*'설정'!$C$5*IF(('설정'!$C$34*IF($A80&gt;=31,1+'설정'!$C$14*'설정'!$E$34,1)/$D80)&lt;1,('설정'!$C$34*IF($A80&gt;=31,1+'설정'!$C$14*'설정'!$E$34,1)/$D80)^(-'설정'!$C$6),('설정'!$C$34*IF($A80&gt;=31,1+'설정'!$C$14*'설정'!$E$34,1)/$D80)^(-'설정'!$C$7))&gt;('설정'!$C$4+'설정'!$F$34),"실패",ROUND($E80*'설정'!$C$5*IF(('설정'!$C$34*IF($A80&gt;=31,1+'설정'!$C$14*'설정'!$E$34,1)/$D80)&lt;1,('설정'!$C$34*IF($A80&gt;=31,1+'설정'!$C$14*'설정'!$E$34,1)/$D80)^(-'설정'!$C$6),('설정'!$C$34*IF($A80&gt;=31,1+'설정'!$C$14*'설정'!$E$34,1)/$D80)^(-'설정'!$C$7)),0))</f>
        <v/>
      </c>
      <c r="U80" s="8">
        <f>IF($E80*'설정'!$C$5*IF(('설정'!$C$35*IF($A80&gt;=31,1+'설정'!$C$14*'설정'!$E$35,1)/$D80)&lt;1,('설정'!$C$35*IF($A80&gt;=31,1+'설정'!$C$14*'설정'!$E$35,1)/$D80)^(-'설정'!$C$6),('설정'!$C$35*IF($A80&gt;=31,1+'설정'!$C$14*'설정'!$E$35,1)/$D80)^(-'설정'!$C$7))&gt;('설정'!$C$4+'설정'!$F$35),"실패",ROUND($E80*'설정'!$C$5*IF(('설정'!$C$35*IF($A80&gt;=31,1+'설정'!$C$14*'설정'!$E$35,1)/$D80)&lt;1,('설정'!$C$35*IF($A80&gt;=31,1+'설정'!$C$14*'설정'!$E$35,1)/$D80)^(-'설정'!$C$6),('설정'!$C$35*IF($A80&gt;=31,1+'설정'!$C$14*'설정'!$E$35,1)/$D80)^(-'설정'!$C$7)),0))</f>
        <v/>
      </c>
      <c r="V80" s="8">
        <f>IF($E80*'설정'!$C$5*IF(('설정'!$C$36*IF($A80&gt;=31,1+'설정'!$C$14*'설정'!$E$36,1)/$D80)&lt;1,('설정'!$C$36*IF($A80&gt;=31,1+'설정'!$C$14*'설정'!$E$36,1)/$D80)^(-'설정'!$C$6),('설정'!$C$36*IF($A80&gt;=31,1+'설정'!$C$14*'설정'!$E$36,1)/$D80)^(-'설정'!$C$7))&gt;('설정'!$C$4+'설정'!$F$36),"실패",ROUND($E80*'설정'!$C$5*IF(('설정'!$C$36*IF($A80&gt;=31,1+'설정'!$C$14*'설정'!$E$36,1)/$D80)&lt;1,('설정'!$C$36*IF($A80&gt;=31,1+'설정'!$C$14*'설정'!$E$36,1)/$D80)^(-'설정'!$C$6),('설정'!$C$36*IF($A80&gt;=31,1+'설정'!$C$14*'설정'!$E$36,1)/$D80)^(-'설정'!$C$7)),0))</f>
        <v/>
      </c>
      <c r="W80" s="8">
        <f>IF($E80*'설정'!$C$5*IF(('설정'!$C$37*IF($A80&gt;=31,1+'설정'!$C$14*'설정'!$E$37,1)/$D80)&lt;1,('설정'!$C$37*IF($A80&gt;=31,1+'설정'!$C$14*'설정'!$E$37,1)/$D80)^(-'설정'!$C$6),('설정'!$C$37*IF($A80&gt;=31,1+'설정'!$C$14*'설정'!$E$37,1)/$D80)^(-'설정'!$C$7))&gt;('설정'!$C$4+'설정'!$F$37),"실패",ROUND($E80*'설정'!$C$5*IF(('설정'!$C$37*IF($A80&gt;=31,1+'설정'!$C$14*'설정'!$E$37,1)/$D80)&lt;1,('설정'!$C$37*IF($A80&gt;=31,1+'설정'!$C$14*'설정'!$E$37,1)/$D80)^(-'설정'!$C$6),('설정'!$C$37*IF($A80&gt;=31,1+'설정'!$C$14*'설정'!$E$37,1)/$D80)^(-'설정'!$C$7)),0))</f>
        <v/>
      </c>
    </row>
    <row r="81">
      <c r="A81" t="n">
        <v>79</v>
      </c>
      <c r="B81" t="inlineStr">
        <is>
          <t>어려움</t>
        </is>
      </c>
      <c r="C81" t="inlineStr"/>
      <c r="D81" s="6" t="n">
        <v>19100000</v>
      </c>
      <c r="E81" t="n">
        <v>90</v>
      </c>
      <c r="F81" s="6" t="n">
        <v>383000</v>
      </c>
      <c r="G81" t="n">
        <v>75</v>
      </c>
      <c r="H81" s="8">
        <f>IF($E81*'설정'!$C$5*IF(('설정'!$C$22*IF($A81&gt;=31,1+'설정'!$C$14*'설정'!$E$22,1)/$D81)&lt;1,('설정'!$C$22*IF($A81&gt;=31,1+'설정'!$C$14*'설정'!$E$22,1)/$D81)^(-'설정'!$C$6),('설정'!$C$22*IF($A81&gt;=31,1+'설정'!$C$14*'설정'!$E$22,1)/$D81)^(-'설정'!$C$7))&gt;('설정'!$C$4+'설정'!$F$22),"실패",ROUND($E81*'설정'!$C$5*IF(('설정'!$C$22*IF($A81&gt;=31,1+'설정'!$C$14*'설정'!$E$22,1)/$D81)&lt;1,('설정'!$C$22*IF($A81&gt;=31,1+'설정'!$C$14*'설정'!$E$22,1)/$D81)^(-'설정'!$C$6),('설정'!$C$22*IF($A81&gt;=31,1+'설정'!$C$14*'설정'!$E$22,1)/$D81)^(-'설정'!$C$7)),0))</f>
        <v/>
      </c>
      <c r="I81" s="8">
        <f>IF($E81*'설정'!$C$5*IF(('설정'!$C$23*IF($A81&gt;=31,1+'설정'!$C$14*'설정'!$E$23,1)/$D81)&lt;1,('설정'!$C$23*IF($A81&gt;=31,1+'설정'!$C$14*'설정'!$E$23,1)/$D81)^(-'설정'!$C$6),('설정'!$C$23*IF($A81&gt;=31,1+'설정'!$C$14*'설정'!$E$23,1)/$D81)^(-'설정'!$C$7))&gt;('설정'!$C$4+'설정'!$F$23),"실패",ROUND($E81*'설정'!$C$5*IF(('설정'!$C$23*IF($A81&gt;=31,1+'설정'!$C$14*'설정'!$E$23,1)/$D81)&lt;1,('설정'!$C$23*IF($A81&gt;=31,1+'설정'!$C$14*'설정'!$E$23,1)/$D81)^(-'설정'!$C$6),('설정'!$C$23*IF($A81&gt;=31,1+'설정'!$C$14*'설정'!$E$23,1)/$D81)^(-'설정'!$C$7)),0))</f>
        <v/>
      </c>
      <c r="J81" s="8">
        <f>IF($E81*'설정'!$C$5*IF(('설정'!$C$24*IF($A81&gt;=31,1+'설정'!$C$14*'설정'!$E$24,1)/$D81)&lt;1,('설정'!$C$24*IF($A81&gt;=31,1+'설정'!$C$14*'설정'!$E$24,1)/$D81)^(-'설정'!$C$6),('설정'!$C$24*IF($A81&gt;=31,1+'설정'!$C$14*'설정'!$E$24,1)/$D81)^(-'설정'!$C$7))&gt;('설정'!$C$4+'설정'!$F$24),"실패",ROUND($E81*'설정'!$C$5*IF(('설정'!$C$24*IF($A81&gt;=31,1+'설정'!$C$14*'설정'!$E$24,1)/$D81)&lt;1,('설정'!$C$24*IF($A81&gt;=31,1+'설정'!$C$14*'설정'!$E$24,1)/$D81)^(-'설정'!$C$6),('설정'!$C$24*IF($A81&gt;=31,1+'설정'!$C$14*'설정'!$E$24,1)/$D81)^(-'설정'!$C$7)),0))</f>
        <v/>
      </c>
      <c r="K81" s="8">
        <f>IF($E81*'설정'!$C$5*IF(('설정'!$C$25*IF($A81&gt;=31,1+'설정'!$C$14*'설정'!$E$25,1)/$D81)&lt;1,('설정'!$C$25*IF($A81&gt;=31,1+'설정'!$C$14*'설정'!$E$25,1)/$D81)^(-'설정'!$C$6),('설정'!$C$25*IF($A81&gt;=31,1+'설정'!$C$14*'설정'!$E$25,1)/$D81)^(-'설정'!$C$7))&gt;('설정'!$C$4+'설정'!$F$25),"실패",ROUND($E81*'설정'!$C$5*IF(('설정'!$C$25*IF($A81&gt;=31,1+'설정'!$C$14*'설정'!$E$25,1)/$D81)&lt;1,('설정'!$C$25*IF($A81&gt;=31,1+'설정'!$C$14*'설정'!$E$25,1)/$D81)^(-'설정'!$C$6),('설정'!$C$25*IF($A81&gt;=31,1+'설정'!$C$14*'설정'!$E$25,1)/$D81)^(-'설정'!$C$7)),0))</f>
        <v/>
      </c>
      <c r="L81" s="8">
        <f>IF($E81*'설정'!$C$5*IF(('설정'!$C$26*IF($A81&gt;=31,1+'설정'!$C$14*'설정'!$E$26,1)/$D81)&lt;1,('설정'!$C$26*IF($A81&gt;=31,1+'설정'!$C$14*'설정'!$E$26,1)/$D81)^(-'설정'!$C$6),('설정'!$C$26*IF($A81&gt;=31,1+'설정'!$C$14*'설정'!$E$26,1)/$D81)^(-'설정'!$C$7))&gt;('설정'!$C$4+'설정'!$F$26),"실패",ROUND($E81*'설정'!$C$5*IF(('설정'!$C$26*IF($A81&gt;=31,1+'설정'!$C$14*'설정'!$E$26,1)/$D81)&lt;1,('설정'!$C$26*IF($A81&gt;=31,1+'설정'!$C$14*'설정'!$E$26,1)/$D81)^(-'설정'!$C$6),('설정'!$C$26*IF($A81&gt;=31,1+'설정'!$C$14*'설정'!$E$26,1)/$D81)^(-'설정'!$C$7)),0))</f>
        <v/>
      </c>
      <c r="M81" s="8">
        <f>IF($E81*'설정'!$C$5*IF(('설정'!$C$27*IF($A81&gt;=31,1+'설정'!$C$14*'설정'!$E$27,1)/$D81)&lt;1,('설정'!$C$27*IF($A81&gt;=31,1+'설정'!$C$14*'설정'!$E$27,1)/$D81)^(-'설정'!$C$6),('설정'!$C$27*IF($A81&gt;=31,1+'설정'!$C$14*'설정'!$E$27,1)/$D81)^(-'설정'!$C$7))&gt;('설정'!$C$4+'설정'!$F$27),"실패",ROUND($E81*'설정'!$C$5*IF(('설정'!$C$27*IF($A81&gt;=31,1+'설정'!$C$14*'설정'!$E$27,1)/$D81)&lt;1,('설정'!$C$27*IF($A81&gt;=31,1+'설정'!$C$14*'설정'!$E$27,1)/$D81)^(-'설정'!$C$6),('설정'!$C$27*IF($A81&gt;=31,1+'설정'!$C$14*'설정'!$E$27,1)/$D81)^(-'설정'!$C$7)),0))</f>
        <v/>
      </c>
      <c r="N81" s="8">
        <f>IF($E81*'설정'!$C$5*IF(('설정'!$C$28*IF($A81&gt;=31,1+'설정'!$C$14*'설정'!$E$28,1)/$D81)&lt;1,('설정'!$C$28*IF($A81&gt;=31,1+'설정'!$C$14*'설정'!$E$28,1)/$D81)^(-'설정'!$C$6),('설정'!$C$28*IF($A81&gt;=31,1+'설정'!$C$14*'설정'!$E$28,1)/$D81)^(-'설정'!$C$7))&gt;('설정'!$C$4+'설정'!$F$28),"실패",ROUND($E81*'설정'!$C$5*IF(('설정'!$C$28*IF($A81&gt;=31,1+'설정'!$C$14*'설정'!$E$28,1)/$D81)&lt;1,('설정'!$C$28*IF($A81&gt;=31,1+'설정'!$C$14*'설정'!$E$28,1)/$D81)^(-'설정'!$C$6),('설정'!$C$28*IF($A81&gt;=31,1+'설정'!$C$14*'설정'!$E$28,1)/$D81)^(-'설정'!$C$7)),0))</f>
        <v/>
      </c>
      <c r="O81" s="8">
        <f>IF($E81*'설정'!$C$5*IF(('설정'!$C$29*IF($A81&gt;=31,1+'설정'!$C$14*'설정'!$E$29,1)/$D81)&lt;1,('설정'!$C$29*IF($A81&gt;=31,1+'설정'!$C$14*'설정'!$E$29,1)/$D81)^(-'설정'!$C$6),('설정'!$C$29*IF($A81&gt;=31,1+'설정'!$C$14*'설정'!$E$29,1)/$D81)^(-'설정'!$C$7))&gt;('설정'!$C$4+'설정'!$F$29),"실패",ROUND($E81*'설정'!$C$5*IF(('설정'!$C$29*IF($A81&gt;=31,1+'설정'!$C$14*'설정'!$E$29,1)/$D81)&lt;1,('설정'!$C$29*IF($A81&gt;=31,1+'설정'!$C$14*'설정'!$E$29,1)/$D81)^(-'설정'!$C$6),('설정'!$C$29*IF($A81&gt;=31,1+'설정'!$C$14*'설정'!$E$29,1)/$D81)^(-'설정'!$C$7)),0))</f>
        <v/>
      </c>
      <c r="P81" s="8">
        <f>IF($E81*'설정'!$C$5*IF(('설정'!$C$30*IF($A81&gt;=31,1+'설정'!$C$14*'설정'!$E$30,1)/$D81)&lt;1,('설정'!$C$30*IF($A81&gt;=31,1+'설정'!$C$14*'설정'!$E$30,1)/$D81)^(-'설정'!$C$6),('설정'!$C$30*IF($A81&gt;=31,1+'설정'!$C$14*'설정'!$E$30,1)/$D81)^(-'설정'!$C$7))&gt;('설정'!$C$4+'설정'!$F$30),"실패",ROUND($E81*'설정'!$C$5*IF(('설정'!$C$30*IF($A81&gt;=31,1+'설정'!$C$14*'설정'!$E$30,1)/$D81)&lt;1,('설정'!$C$30*IF($A81&gt;=31,1+'설정'!$C$14*'설정'!$E$30,1)/$D81)^(-'설정'!$C$6),('설정'!$C$30*IF($A81&gt;=31,1+'설정'!$C$14*'설정'!$E$30,1)/$D81)^(-'설정'!$C$7)),0))</f>
        <v/>
      </c>
      <c r="Q81" s="8">
        <f>IF($E81*'설정'!$C$5*IF(('설정'!$C$31*IF($A81&gt;=31,1+'설정'!$C$14*'설정'!$E$31,1)/$D81)&lt;1,('설정'!$C$31*IF($A81&gt;=31,1+'설정'!$C$14*'설정'!$E$31,1)/$D81)^(-'설정'!$C$6),('설정'!$C$31*IF($A81&gt;=31,1+'설정'!$C$14*'설정'!$E$31,1)/$D81)^(-'설정'!$C$7))&gt;('설정'!$C$4+'설정'!$F$31),"실패",ROUND($E81*'설정'!$C$5*IF(('설정'!$C$31*IF($A81&gt;=31,1+'설정'!$C$14*'설정'!$E$31,1)/$D81)&lt;1,('설정'!$C$31*IF($A81&gt;=31,1+'설정'!$C$14*'설정'!$E$31,1)/$D81)^(-'설정'!$C$6),('설정'!$C$31*IF($A81&gt;=31,1+'설정'!$C$14*'설정'!$E$31,1)/$D81)^(-'설정'!$C$7)),0))</f>
        <v/>
      </c>
      <c r="R81" s="8">
        <f>IF($E81*'설정'!$C$5*IF(('설정'!$C$32*IF($A81&gt;=31,1+'설정'!$C$14*'설정'!$E$32,1)/$D81)&lt;1,('설정'!$C$32*IF($A81&gt;=31,1+'설정'!$C$14*'설정'!$E$32,1)/$D81)^(-'설정'!$C$6),('설정'!$C$32*IF($A81&gt;=31,1+'설정'!$C$14*'설정'!$E$32,1)/$D81)^(-'설정'!$C$7))&gt;('설정'!$C$4+'설정'!$F$32),"실패",ROUND($E81*'설정'!$C$5*IF(('설정'!$C$32*IF($A81&gt;=31,1+'설정'!$C$14*'설정'!$E$32,1)/$D81)&lt;1,('설정'!$C$32*IF($A81&gt;=31,1+'설정'!$C$14*'설정'!$E$32,1)/$D81)^(-'설정'!$C$6),('설정'!$C$32*IF($A81&gt;=31,1+'설정'!$C$14*'설정'!$E$32,1)/$D81)^(-'설정'!$C$7)),0))</f>
        <v/>
      </c>
      <c r="S81" s="8">
        <f>IF($E81*'설정'!$C$5*IF(('설정'!$C$33*IF($A81&gt;=31,1+'설정'!$C$14*'설정'!$E$33,1)/$D81)&lt;1,('설정'!$C$33*IF($A81&gt;=31,1+'설정'!$C$14*'설정'!$E$33,1)/$D81)^(-'설정'!$C$6),('설정'!$C$33*IF($A81&gt;=31,1+'설정'!$C$14*'설정'!$E$33,1)/$D81)^(-'설정'!$C$7))&gt;('설정'!$C$4+'설정'!$F$33),"실패",ROUND($E81*'설정'!$C$5*IF(('설정'!$C$33*IF($A81&gt;=31,1+'설정'!$C$14*'설정'!$E$33,1)/$D81)&lt;1,('설정'!$C$33*IF($A81&gt;=31,1+'설정'!$C$14*'설정'!$E$33,1)/$D81)^(-'설정'!$C$6),('설정'!$C$33*IF($A81&gt;=31,1+'설정'!$C$14*'설정'!$E$33,1)/$D81)^(-'설정'!$C$7)),0))</f>
        <v/>
      </c>
      <c r="T81" s="8">
        <f>IF($E81*'설정'!$C$5*IF(('설정'!$C$34*IF($A81&gt;=31,1+'설정'!$C$14*'설정'!$E$34,1)/$D81)&lt;1,('설정'!$C$34*IF($A81&gt;=31,1+'설정'!$C$14*'설정'!$E$34,1)/$D81)^(-'설정'!$C$6),('설정'!$C$34*IF($A81&gt;=31,1+'설정'!$C$14*'설정'!$E$34,1)/$D81)^(-'설정'!$C$7))&gt;('설정'!$C$4+'설정'!$F$34),"실패",ROUND($E81*'설정'!$C$5*IF(('설정'!$C$34*IF($A81&gt;=31,1+'설정'!$C$14*'설정'!$E$34,1)/$D81)&lt;1,('설정'!$C$34*IF($A81&gt;=31,1+'설정'!$C$14*'설정'!$E$34,1)/$D81)^(-'설정'!$C$6),('설정'!$C$34*IF($A81&gt;=31,1+'설정'!$C$14*'설정'!$E$34,1)/$D81)^(-'설정'!$C$7)),0))</f>
        <v/>
      </c>
      <c r="U81" s="8">
        <f>IF($E81*'설정'!$C$5*IF(('설정'!$C$35*IF($A81&gt;=31,1+'설정'!$C$14*'설정'!$E$35,1)/$D81)&lt;1,('설정'!$C$35*IF($A81&gt;=31,1+'설정'!$C$14*'설정'!$E$35,1)/$D81)^(-'설정'!$C$6),('설정'!$C$35*IF($A81&gt;=31,1+'설정'!$C$14*'설정'!$E$35,1)/$D81)^(-'설정'!$C$7))&gt;('설정'!$C$4+'설정'!$F$35),"실패",ROUND($E81*'설정'!$C$5*IF(('설정'!$C$35*IF($A81&gt;=31,1+'설정'!$C$14*'설정'!$E$35,1)/$D81)&lt;1,('설정'!$C$35*IF($A81&gt;=31,1+'설정'!$C$14*'설정'!$E$35,1)/$D81)^(-'설정'!$C$6),('설정'!$C$35*IF($A81&gt;=31,1+'설정'!$C$14*'설정'!$E$35,1)/$D81)^(-'설정'!$C$7)),0))</f>
        <v/>
      </c>
      <c r="V81" s="8">
        <f>IF($E81*'설정'!$C$5*IF(('설정'!$C$36*IF($A81&gt;=31,1+'설정'!$C$14*'설정'!$E$36,1)/$D81)&lt;1,('설정'!$C$36*IF($A81&gt;=31,1+'설정'!$C$14*'설정'!$E$36,1)/$D81)^(-'설정'!$C$6),('설정'!$C$36*IF($A81&gt;=31,1+'설정'!$C$14*'설정'!$E$36,1)/$D81)^(-'설정'!$C$7))&gt;('설정'!$C$4+'설정'!$F$36),"실패",ROUND($E81*'설정'!$C$5*IF(('설정'!$C$36*IF($A81&gt;=31,1+'설정'!$C$14*'설정'!$E$36,1)/$D81)&lt;1,('설정'!$C$36*IF($A81&gt;=31,1+'설정'!$C$14*'설정'!$E$36,1)/$D81)^(-'설정'!$C$6),('설정'!$C$36*IF($A81&gt;=31,1+'설정'!$C$14*'설정'!$E$36,1)/$D81)^(-'설정'!$C$7)),0))</f>
        <v/>
      </c>
      <c r="W81" s="8">
        <f>IF($E81*'설정'!$C$5*IF(('설정'!$C$37*IF($A81&gt;=31,1+'설정'!$C$14*'설정'!$E$37,1)/$D81)&lt;1,('설정'!$C$37*IF($A81&gt;=31,1+'설정'!$C$14*'설정'!$E$37,1)/$D81)^(-'설정'!$C$6),('설정'!$C$37*IF($A81&gt;=31,1+'설정'!$C$14*'설정'!$E$37,1)/$D81)^(-'설정'!$C$7))&gt;('설정'!$C$4+'설정'!$F$37),"실패",ROUND($E81*'설정'!$C$5*IF(('설정'!$C$37*IF($A81&gt;=31,1+'설정'!$C$14*'설정'!$E$37,1)/$D81)&lt;1,('설정'!$C$37*IF($A81&gt;=31,1+'설정'!$C$14*'설정'!$E$37,1)/$D81)^(-'설정'!$C$6),('설정'!$C$37*IF($A81&gt;=31,1+'설정'!$C$14*'설정'!$E$37,1)/$D81)^(-'설정'!$C$7)),0))</f>
        <v/>
      </c>
    </row>
    <row r="82">
      <c r="A82" s="4" t="n">
        <v>80</v>
      </c>
      <c r="B82" s="4" t="inlineStr">
        <is>
          <t>허들</t>
        </is>
      </c>
      <c r="C82" s="4" t="inlineStr">
        <is>
          <t>보스</t>
        </is>
      </c>
      <c r="D82" s="9" t="n">
        <v>32400000</v>
      </c>
      <c r="E82" s="4" t="n">
        <v>157.5</v>
      </c>
      <c r="F82" s="9" t="n">
        <v>649000</v>
      </c>
      <c r="G82" s="4" t="n">
        <v>81</v>
      </c>
      <c r="H82" s="8">
        <f>IF($E82*'설정'!$C$5*IF(('설정'!$C$22*IF($A82&gt;=31,1+'설정'!$C$14*'설정'!$E$22,1)/$D82)&lt;1,('설정'!$C$22*IF($A82&gt;=31,1+'설정'!$C$14*'설정'!$E$22,1)/$D82)^(-'설정'!$C$6),('설정'!$C$22*IF($A82&gt;=31,1+'설정'!$C$14*'설정'!$E$22,1)/$D82)^(-'설정'!$C$7))&gt;('설정'!$C$4+'설정'!$F$22+'설정'!$G$22),"실패",ROUND($E82*'설정'!$C$5*IF(('설정'!$C$22*IF($A82&gt;=31,1+'설정'!$C$14*'설정'!$E$22,1)/$D82)&lt;1,('설정'!$C$22*IF($A82&gt;=31,1+'설정'!$C$14*'설정'!$E$22,1)/$D82)^(-'설정'!$C$6),('설정'!$C$22*IF($A82&gt;=31,1+'설정'!$C$14*'설정'!$E$22,1)/$D82)^(-'설정'!$C$7)),0))</f>
        <v/>
      </c>
      <c r="I82" s="8">
        <f>IF($E82*'설정'!$C$5*IF(('설정'!$C$23*IF($A82&gt;=31,1+'설정'!$C$14*'설정'!$E$23,1)/$D82)&lt;1,('설정'!$C$23*IF($A82&gt;=31,1+'설정'!$C$14*'설정'!$E$23,1)/$D82)^(-'설정'!$C$6),('설정'!$C$23*IF($A82&gt;=31,1+'설정'!$C$14*'설정'!$E$23,1)/$D82)^(-'설정'!$C$7))&gt;('설정'!$C$4+'설정'!$F$23+'설정'!$G$23),"실패",ROUND($E82*'설정'!$C$5*IF(('설정'!$C$23*IF($A82&gt;=31,1+'설정'!$C$14*'설정'!$E$23,1)/$D82)&lt;1,('설정'!$C$23*IF($A82&gt;=31,1+'설정'!$C$14*'설정'!$E$23,1)/$D82)^(-'설정'!$C$6),('설정'!$C$23*IF($A82&gt;=31,1+'설정'!$C$14*'설정'!$E$23,1)/$D82)^(-'설정'!$C$7)),0))</f>
        <v/>
      </c>
      <c r="J82" s="8">
        <f>IF($E82*'설정'!$C$5*IF(('설정'!$C$24*IF($A82&gt;=31,1+'설정'!$C$14*'설정'!$E$24,1)/$D82)&lt;1,('설정'!$C$24*IF($A82&gt;=31,1+'설정'!$C$14*'설정'!$E$24,1)/$D82)^(-'설정'!$C$6),('설정'!$C$24*IF($A82&gt;=31,1+'설정'!$C$14*'설정'!$E$24,1)/$D82)^(-'설정'!$C$7))&gt;('설정'!$C$4+'설정'!$F$24+'설정'!$G$24),"실패",ROUND($E82*'설정'!$C$5*IF(('설정'!$C$24*IF($A82&gt;=31,1+'설정'!$C$14*'설정'!$E$24,1)/$D82)&lt;1,('설정'!$C$24*IF($A82&gt;=31,1+'설정'!$C$14*'설정'!$E$24,1)/$D82)^(-'설정'!$C$6),('설정'!$C$24*IF($A82&gt;=31,1+'설정'!$C$14*'설정'!$E$24,1)/$D82)^(-'설정'!$C$7)),0))</f>
        <v/>
      </c>
      <c r="K82" s="8">
        <f>IF($E82*'설정'!$C$5*IF(('설정'!$C$25*IF($A82&gt;=31,1+'설정'!$C$14*'설정'!$E$25,1)/$D82)&lt;1,('설정'!$C$25*IF($A82&gt;=31,1+'설정'!$C$14*'설정'!$E$25,1)/$D82)^(-'설정'!$C$6),('설정'!$C$25*IF($A82&gt;=31,1+'설정'!$C$14*'설정'!$E$25,1)/$D82)^(-'설정'!$C$7))&gt;('설정'!$C$4+'설정'!$F$25+'설정'!$G$25),"실패",ROUND($E82*'설정'!$C$5*IF(('설정'!$C$25*IF($A82&gt;=31,1+'설정'!$C$14*'설정'!$E$25,1)/$D82)&lt;1,('설정'!$C$25*IF($A82&gt;=31,1+'설정'!$C$14*'설정'!$E$25,1)/$D82)^(-'설정'!$C$6),('설정'!$C$25*IF($A82&gt;=31,1+'설정'!$C$14*'설정'!$E$25,1)/$D82)^(-'설정'!$C$7)),0))</f>
        <v/>
      </c>
      <c r="L82" s="8">
        <f>IF($E82*'설정'!$C$5*IF(('설정'!$C$26*IF($A82&gt;=31,1+'설정'!$C$14*'설정'!$E$26,1)/$D82)&lt;1,('설정'!$C$26*IF($A82&gt;=31,1+'설정'!$C$14*'설정'!$E$26,1)/$D82)^(-'설정'!$C$6),('설정'!$C$26*IF($A82&gt;=31,1+'설정'!$C$14*'설정'!$E$26,1)/$D82)^(-'설정'!$C$7))&gt;('설정'!$C$4+'설정'!$F$26+'설정'!$G$26),"실패",ROUND($E82*'설정'!$C$5*IF(('설정'!$C$26*IF($A82&gt;=31,1+'설정'!$C$14*'설정'!$E$26,1)/$D82)&lt;1,('설정'!$C$26*IF($A82&gt;=31,1+'설정'!$C$14*'설정'!$E$26,1)/$D82)^(-'설정'!$C$6),('설정'!$C$26*IF($A82&gt;=31,1+'설정'!$C$14*'설정'!$E$26,1)/$D82)^(-'설정'!$C$7)),0))</f>
        <v/>
      </c>
      <c r="M82" s="8">
        <f>IF($E82*'설정'!$C$5*IF(('설정'!$C$27*IF($A82&gt;=31,1+'설정'!$C$14*'설정'!$E$27,1)/$D82)&lt;1,('설정'!$C$27*IF($A82&gt;=31,1+'설정'!$C$14*'설정'!$E$27,1)/$D82)^(-'설정'!$C$6),('설정'!$C$27*IF($A82&gt;=31,1+'설정'!$C$14*'설정'!$E$27,1)/$D82)^(-'설정'!$C$7))&gt;('설정'!$C$4+'설정'!$F$27+'설정'!$G$27),"실패",ROUND($E82*'설정'!$C$5*IF(('설정'!$C$27*IF($A82&gt;=31,1+'설정'!$C$14*'설정'!$E$27,1)/$D82)&lt;1,('설정'!$C$27*IF($A82&gt;=31,1+'설정'!$C$14*'설정'!$E$27,1)/$D82)^(-'설정'!$C$6),('설정'!$C$27*IF($A82&gt;=31,1+'설정'!$C$14*'설정'!$E$27,1)/$D82)^(-'설정'!$C$7)),0))</f>
        <v/>
      </c>
      <c r="N82" s="8">
        <f>IF($E82*'설정'!$C$5*IF(('설정'!$C$28*IF($A82&gt;=31,1+'설정'!$C$14*'설정'!$E$28,1)/$D82)&lt;1,('설정'!$C$28*IF($A82&gt;=31,1+'설정'!$C$14*'설정'!$E$28,1)/$D82)^(-'설정'!$C$6),('설정'!$C$28*IF($A82&gt;=31,1+'설정'!$C$14*'설정'!$E$28,1)/$D82)^(-'설정'!$C$7))&gt;('설정'!$C$4+'설정'!$F$28+'설정'!$G$28),"실패",ROUND($E82*'설정'!$C$5*IF(('설정'!$C$28*IF($A82&gt;=31,1+'설정'!$C$14*'설정'!$E$28,1)/$D82)&lt;1,('설정'!$C$28*IF($A82&gt;=31,1+'설정'!$C$14*'설정'!$E$28,1)/$D82)^(-'설정'!$C$6),('설정'!$C$28*IF($A82&gt;=31,1+'설정'!$C$14*'설정'!$E$28,1)/$D82)^(-'설정'!$C$7)),0))</f>
        <v/>
      </c>
      <c r="O82" s="8">
        <f>IF($E82*'설정'!$C$5*IF(('설정'!$C$29*IF($A82&gt;=31,1+'설정'!$C$14*'설정'!$E$29,1)/$D82)&lt;1,('설정'!$C$29*IF($A82&gt;=31,1+'설정'!$C$14*'설정'!$E$29,1)/$D82)^(-'설정'!$C$6),('설정'!$C$29*IF($A82&gt;=31,1+'설정'!$C$14*'설정'!$E$29,1)/$D82)^(-'설정'!$C$7))&gt;('설정'!$C$4+'설정'!$F$29+'설정'!$G$29),"실패",ROUND($E82*'설정'!$C$5*IF(('설정'!$C$29*IF($A82&gt;=31,1+'설정'!$C$14*'설정'!$E$29,1)/$D82)&lt;1,('설정'!$C$29*IF($A82&gt;=31,1+'설정'!$C$14*'설정'!$E$29,1)/$D82)^(-'설정'!$C$6),('설정'!$C$29*IF($A82&gt;=31,1+'설정'!$C$14*'설정'!$E$29,1)/$D82)^(-'설정'!$C$7)),0))</f>
        <v/>
      </c>
      <c r="P82" s="8">
        <f>IF($E82*'설정'!$C$5*IF(('설정'!$C$30*IF($A82&gt;=31,1+'설정'!$C$14*'설정'!$E$30,1)/$D82)&lt;1,('설정'!$C$30*IF($A82&gt;=31,1+'설정'!$C$14*'설정'!$E$30,1)/$D82)^(-'설정'!$C$6),('설정'!$C$30*IF($A82&gt;=31,1+'설정'!$C$14*'설정'!$E$30,1)/$D82)^(-'설정'!$C$7))&gt;('설정'!$C$4+'설정'!$F$30+'설정'!$G$30),"실패",ROUND($E82*'설정'!$C$5*IF(('설정'!$C$30*IF($A82&gt;=31,1+'설정'!$C$14*'설정'!$E$30,1)/$D82)&lt;1,('설정'!$C$30*IF($A82&gt;=31,1+'설정'!$C$14*'설정'!$E$30,1)/$D82)^(-'설정'!$C$6),('설정'!$C$30*IF($A82&gt;=31,1+'설정'!$C$14*'설정'!$E$30,1)/$D82)^(-'설정'!$C$7)),0))</f>
        <v/>
      </c>
      <c r="Q82" s="8">
        <f>IF($E82*'설정'!$C$5*IF(('설정'!$C$31*IF($A82&gt;=31,1+'설정'!$C$14*'설정'!$E$31,1)/$D82)&lt;1,('설정'!$C$31*IF($A82&gt;=31,1+'설정'!$C$14*'설정'!$E$31,1)/$D82)^(-'설정'!$C$6),('설정'!$C$31*IF($A82&gt;=31,1+'설정'!$C$14*'설정'!$E$31,1)/$D82)^(-'설정'!$C$7))&gt;('설정'!$C$4+'설정'!$F$31+'설정'!$G$31),"실패",ROUND($E82*'설정'!$C$5*IF(('설정'!$C$31*IF($A82&gt;=31,1+'설정'!$C$14*'설정'!$E$31,1)/$D82)&lt;1,('설정'!$C$31*IF($A82&gt;=31,1+'설정'!$C$14*'설정'!$E$31,1)/$D82)^(-'설정'!$C$6),('설정'!$C$31*IF($A82&gt;=31,1+'설정'!$C$14*'설정'!$E$31,1)/$D82)^(-'설정'!$C$7)),0))</f>
        <v/>
      </c>
      <c r="R82" s="8">
        <f>IF($E82*'설정'!$C$5*IF(('설정'!$C$32*IF($A82&gt;=31,1+'설정'!$C$14*'설정'!$E$32,1)/$D82)&lt;1,('설정'!$C$32*IF($A82&gt;=31,1+'설정'!$C$14*'설정'!$E$32,1)/$D82)^(-'설정'!$C$6),('설정'!$C$32*IF($A82&gt;=31,1+'설정'!$C$14*'설정'!$E$32,1)/$D82)^(-'설정'!$C$7))&gt;('설정'!$C$4+'설정'!$F$32+'설정'!$G$32),"실패",ROUND($E82*'설정'!$C$5*IF(('설정'!$C$32*IF($A82&gt;=31,1+'설정'!$C$14*'설정'!$E$32,1)/$D82)&lt;1,('설정'!$C$32*IF($A82&gt;=31,1+'설정'!$C$14*'설정'!$E$32,1)/$D82)^(-'설정'!$C$6),('설정'!$C$32*IF($A82&gt;=31,1+'설정'!$C$14*'설정'!$E$32,1)/$D82)^(-'설정'!$C$7)),0))</f>
        <v/>
      </c>
      <c r="S82" s="8">
        <f>IF($E82*'설정'!$C$5*IF(('설정'!$C$33*IF($A82&gt;=31,1+'설정'!$C$14*'설정'!$E$33,1)/$D82)&lt;1,('설정'!$C$33*IF($A82&gt;=31,1+'설정'!$C$14*'설정'!$E$33,1)/$D82)^(-'설정'!$C$6),('설정'!$C$33*IF($A82&gt;=31,1+'설정'!$C$14*'설정'!$E$33,1)/$D82)^(-'설정'!$C$7))&gt;('설정'!$C$4+'설정'!$F$33+'설정'!$G$33),"실패",ROUND($E82*'설정'!$C$5*IF(('설정'!$C$33*IF($A82&gt;=31,1+'설정'!$C$14*'설정'!$E$33,1)/$D82)&lt;1,('설정'!$C$33*IF($A82&gt;=31,1+'설정'!$C$14*'설정'!$E$33,1)/$D82)^(-'설정'!$C$6),('설정'!$C$33*IF($A82&gt;=31,1+'설정'!$C$14*'설정'!$E$33,1)/$D82)^(-'설정'!$C$7)),0))</f>
        <v/>
      </c>
      <c r="T82" s="8">
        <f>IF($E82*'설정'!$C$5*IF(('설정'!$C$34*IF($A82&gt;=31,1+'설정'!$C$14*'설정'!$E$34,1)/$D82)&lt;1,('설정'!$C$34*IF($A82&gt;=31,1+'설정'!$C$14*'설정'!$E$34,1)/$D82)^(-'설정'!$C$6),('설정'!$C$34*IF($A82&gt;=31,1+'설정'!$C$14*'설정'!$E$34,1)/$D82)^(-'설정'!$C$7))&gt;('설정'!$C$4+'설정'!$F$34+'설정'!$G$34),"실패",ROUND($E82*'설정'!$C$5*IF(('설정'!$C$34*IF($A82&gt;=31,1+'설정'!$C$14*'설정'!$E$34,1)/$D82)&lt;1,('설정'!$C$34*IF($A82&gt;=31,1+'설정'!$C$14*'설정'!$E$34,1)/$D82)^(-'설정'!$C$6),('설정'!$C$34*IF($A82&gt;=31,1+'설정'!$C$14*'설정'!$E$34,1)/$D82)^(-'설정'!$C$7)),0))</f>
        <v/>
      </c>
      <c r="U82" s="8">
        <f>IF($E82*'설정'!$C$5*IF(('설정'!$C$35*IF($A82&gt;=31,1+'설정'!$C$14*'설정'!$E$35,1)/$D82)&lt;1,('설정'!$C$35*IF($A82&gt;=31,1+'설정'!$C$14*'설정'!$E$35,1)/$D82)^(-'설정'!$C$6),('설정'!$C$35*IF($A82&gt;=31,1+'설정'!$C$14*'설정'!$E$35,1)/$D82)^(-'설정'!$C$7))&gt;('설정'!$C$4+'설정'!$F$35+'설정'!$G$35),"실패",ROUND($E82*'설정'!$C$5*IF(('설정'!$C$35*IF($A82&gt;=31,1+'설정'!$C$14*'설정'!$E$35,1)/$D82)&lt;1,('설정'!$C$35*IF($A82&gt;=31,1+'설정'!$C$14*'설정'!$E$35,1)/$D82)^(-'설정'!$C$6),('설정'!$C$35*IF($A82&gt;=31,1+'설정'!$C$14*'설정'!$E$35,1)/$D82)^(-'설정'!$C$7)),0))</f>
        <v/>
      </c>
      <c r="V82" s="8">
        <f>IF($E82*'설정'!$C$5*IF(('설정'!$C$36*IF($A82&gt;=31,1+'설정'!$C$14*'설정'!$E$36,1)/$D82)&lt;1,('설정'!$C$36*IF($A82&gt;=31,1+'설정'!$C$14*'설정'!$E$36,1)/$D82)^(-'설정'!$C$6),('설정'!$C$36*IF($A82&gt;=31,1+'설정'!$C$14*'설정'!$E$36,1)/$D82)^(-'설정'!$C$7))&gt;('설정'!$C$4+'설정'!$F$36+'설정'!$G$36),"실패",ROUND($E82*'설정'!$C$5*IF(('설정'!$C$36*IF($A82&gt;=31,1+'설정'!$C$14*'설정'!$E$36,1)/$D82)&lt;1,('설정'!$C$36*IF($A82&gt;=31,1+'설정'!$C$14*'설정'!$E$36,1)/$D82)^(-'설정'!$C$6),('설정'!$C$36*IF($A82&gt;=31,1+'설정'!$C$14*'설정'!$E$36,1)/$D82)^(-'설정'!$C$7)),0))</f>
        <v/>
      </c>
      <c r="W82" s="8">
        <f>IF($E82*'설정'!$C$5*IF(('설정'!$C$37*IF($A82&gt;=31,1+'설정'!$C$14*'설정'!$E$37,1)/$D82)&lt;1,('설정'!$C$37*IF($A82&gt;=31,1+'설정'!$C$14*'설정'!$E$37,1)/$D82)^(-'설정'!$C$6),('설정'!$C$37*IF($A82&gt;=31,1+'설정'!$C$14*'설정'!$E$37,1)/$D82)^(-'설정'!$C$7))&gt;('설정'!$C$4+'설정'!$F$37+'설정'!$G$37),"실패",ROUND($E82*'설정'!$C$5*IF(('설정'!$C$37*IF($A82&gt;=31,1+'설정'!$C$14*'설정'!$E$37,1)/$D82)&lt;1,('설정'!$C$37*IF($A82&gt;=31,1+'설정'!$C$14*'설정'!$E$37,1)/$D82)^(-'설정'!$C$6),('설정'!$C$37*IF($A82&gt;=31,1+'설정'!$C$14*'설정'!$E$37,1)/$D82)^(-'설정'!$C$7)),0))</f>
        <v/>
      </c>
    </row>
    <row r="83">
      <c r="A83" t="n">
        <v>81</v>
      </c>
      <c r="B83" t="inlineStr">
        <is>
          <t>쉬움</t>
        </is>
      </c>
      <c r="C83" t="inlineStr"/>
      <c r="D83" s="6" t="n">
        <v>21100000</v>
      </c>
      <c r="E83" t="n">
        <v>72</v>
      </c>
      <c r="F83" s="6" t="n">
        <v>423000</v>
      </c>
      <c r="G83" t="n">
        <v>81</v>
      </c>
      <c r="H83" s="8">
        <f>IF($E83*'설정'!$C$5*IF(('설정'!$C$22*IF($A83&gt;=31,1+'설정'!$C$14*'설정'!$E$22,1)/$D83)&lt;1,('설정'!$C$22*IF($A83&gt;=31,1+'설정'!$C$14*'설정'!$E$22,1)/$D83)^(-'설정'!$C$6),('설정'!$C$22*IF($A83&gt;=31,1+'설정'!$C$14*'설정'!$E$22,1)/$D83)^(-'설정'!$C$7))&gt;('설정'!$C$4+'설정'!$F$22),"실패",ROUND($E83*'설정'!$C$5*IF(('설정'!$C$22*IF($A83&gt;=31,1+'설정'!$C$14*'설정'!$E$22,1)/$D83)&lt;1,('설정'!$C$22*IF($A83&gt;=31,1+'설정'!$C$14*'설정'!$E$22,1)/$D83)^(-'설정'!$C$6),('설정'!$C$22*IF($A83&gt;=31,1+'설정'!$C$14*'설정'!$E$22,1)/$D83)^(-'설정'!$C$7)),0))</f>
        <v/>
      </c>
      <c r="I83" s="8">
        <f>IF($E83*'설정'!$C$5*IF(('설정'!$C$23*IF($A83&gt;=31,1+'설정'!$C$14*'설정'!$E$23,1)/$D83)&lt;1,('설정'!$C$23*IF($A83&gt;=31,1+'설정'!$C$14*'설정'!$E$23,1)/$D83)^(-'설정'!$C$6),('설정'!$C$23*IF($A83&gt;=31,1+'설정'!$C$14*'설정'!$E$23,1)/$D83)^(-'설정'!$C$7))&gt;('설정'!$C$4+'설정'!$F$23),"실패",ROUND($E83*'설정'!$C$5*IF(('설정'!$C$23*IF($A83&gt;=31,1+'설정'!$C$14*'설정'!$E$23,1)/$D83)&lt;1,('설정'!$C$23*IF($A83&gt;=31,1+'설정'!$C$14*'설정'!$E$23,1)/$D83)^(-'설정'!$C$6),('설정'!$C$23*IF($A83&gt;=31,1+'설정'!$C$14*'설정'!$E$23,1)/$D83)^(-'설정'!$C$7)),0))</f>
        <v/>
      </c>
      <c r="J83" s="8">
        <f>IF($E83*'설정'!$C$5*IF(('설정'!$C$24*IF($A83&gt;=31,1+'설정'!$C$14*'설정'!$E$24,1)/$D83)&lt;1,('설정'!$C$24*IF($A83&gt;=31,1+'설정'!$C$14*'설정'!$E$24,1)/$D83)^(-'설정'!$C$6),('설정'!$C$24*IF($A83&gt;=31,1+'설정'!$C$14*'설정'!$E$24,1)/$D83)^(-'설정'!$C$7))&gt;('설정'!$C$4+'설정'!$F$24),"실패",ROUND($E83*'설정'!$C$5*IF(('설정'!$C$24*IF($A83&gt;=31,1+'설정'!$C$14*'설정'!$E$24,1)/$D83)&lt;1,('설정'!$C$24*IF($A83&gt;=31,1+'설정'!$C$14*'설정'!$E$24,1)/$D83)^(-'설정'!$C$6),('설정'!$C$24*IF($A83&gt;=31,1+'설정'!$C$14*'설정'!$E$24,1)/$D83)^(-'설정'!$C$7)),0))</f>
        <v/>
      </c>
      <c r="K83" s="8">
        <f>IF($E83*'설정'!$C$5*IF(('설정'!$C$25*IF($A83&gt;=31,1+'설정'!$C$14*'설정'!$E$25,1)/$D83)&lt;1,('설정'!$C$25*IF($A83&gt;=31,1+'설정'!$C$14*'설정'!$E$25,1)/$D83)^(-'설정'!$C$6),('설정'!$C$25*IF($A83&gt;=31,1+'설정'!$C$14*'설정'!$E$25,1)/$D83)^(-'설정'!$C$7))&gt;('설정'!$C$4+'설정'!$F$25),"실패",ROUND($E83*'설정'!$C$5*IF(('설정'!$C$25*IF($A83&gt;=31,1+'설정'!$C$14*'설정'!$E$25,1)/$D83)&lt;1,('설정'!$C$25*IF($A83&gt;=31,1+'설정'!$C$14*'설정'!$E$25,1)/$D83)^(-'설정'!$C$6),('설정'!$C$25*IF($A83&gt;=31,1+'설정'!$C$14*'설정'!$E$25,1)/$D83)^(-'설정'!$C$7)),0))</f>
        <v/>
      </c>
      <c r="L83" s="8">
        <f>IF($E83*'설정'!$C$5*IF(('설정'!$C$26*IF($A83&gt;=31,1+'설정'!$C$14*'설정'!$E$26,1)/$D83)&lt;1,('설정'!$C$26*IF($A83&gt;=31,1+'설정'!$C$14*'설정'!$E$26,1)/$D83)^(-'설정'!$C$6),('설정'!$C$26*IF($A83&gt;=31,1+'설정'!$C$14*'설정'!$E$26,1)/$D83)^(-'설정'!$C$7))&gt;('설정'!$C$4+'설정'!$F$26),"실패",ROUND($E83*'설정'!$C$5*IF(('설정'!$C$26*IF($A83&gt;=31,1+'설정'!$C$14*'설정'!$E$26,1)/$D83)&lt;1,('설정'!$C$26*IF($A83&gt;=31,1+'설정'!$C$14*'설정'!$E$26,1)/$D83)^(-'설정'!$C$6),('설정'!$C$26*IF($A83&gt;=31,1+'설정'!$C$14*'설정'!$E$26,1)/$D83)^(-'설정'!$C$7)),0))</f>
        <v/>
      </c>
      <c r="M83" s="8">
        <f>IF($E83*'설정'!$C$5*IF(('설정'!$C$27*IF($A83&gt;=31,1+'설정'!$C$14*'설정'!$E$27,1)/$D83)&lt;1,('설정'!$C$27*IF($A83&gt;=31,1+'설정'!$C$14*'설정'!$E$27,1)/$D83)^(-'설정'!$C$6),('설정'!$C$27*IF($A83&gt;=31,1+'설정'!$C$14*'설정'!$E$27,1)/$D83)^(-'설정'!$C$7))&gt;('설정'!$C$4+'설정'!$F$27),"실패",ROUND($E83*'설정'!$C$5*IF(('설정'!$C$27*IF($A83&gt;=31,1+'설정'!$C$14*'설정'!$E$27,1)/$D83)&lt;1,('설정'!$C$27*IF($A83&gt;=31,1+'설정'!$C$14*'설정'!$E$27,1)/$D83)^(-'설정'!$C$6),('설정'!$C$27*IF($A83&gt;=31,1+'설정'!$C$14*'설정'!$E$27,1)/$D83)^(-'설정'!$C$7)),0))</f>
        <v/>
      </c>
      <c r="N83" s="8">
        <f>IF($E83*'설정'!$C$5*IF(('설정'!$C$28*IF($A83&gt;=31,1+'설정'!$C$14*'설정'!$E$28,1)/$D83)&lt;1,('설정'!$C$28*IF($A83&gt;=31,1+'설정'!$C$14*'설정'!$E$28,1)/$D83)^(-'설정'!$C$6),('설정'!$C$28*IF($A83&gt;=31,1+'설정'!$C$14*'설정'!$E$28,1)/$D83)^(-'설정'!$C$7))&gt;('설정'!$C$4+'설정'!$F$28),"실패",ROUND($E83*'설정'!$C$5*IF(('설정'!$C$28*IF($A83&gt;=31,1+'설정'!$C$14*'설정'!$E$28,1)/$D83)&lt;1,('설정'!$C$28*IF($A83&gt;=31,1+'설정'!$C$14*'설정'!$E$28,1)/$D83)^(-'설정'!$C$6),('설정'!$C$28*IF($A83&gt;=31,1+'설정'!$C$14*'설정'!$E$28,1)/$D83)^(-'설정'!$C$7)),0))</f>
        <v/>
      </c>
      <c r="O83" s="8">
        <f>IF($E83*'설정'!$C$5*IF(('설정'!$C$29*IF($A83&gt;=31,1+'설정'!$C$14*'설정'!$E$29,1)/$D83)&lt;1,('설정'!$C$29*IF($A83&gt;=31,1+'설정'!$C$14*'설정'!$E$29,1)/$D83)^(-'설정'!$C$6),('설정'!$C$29*IF($A83&gt;=31,1+'설정'!$C$14*'설정'!$E$29,1)/$D83)^(-'설정'!$C$7))&gt;('설정'!$C$4+'설정'!$F$29),"실패",ROUND($E83*'설정'!$C$5*IF(('설정'!$C$29*IF($A83&gt;=31,1+'설정'!$C$14*'설정'!$E$29,1)/$D83)&lt;1,('설정'!$C$29*IF($A83&gt;=31,1+'설정'!$C$14*'설정'!$E$29,1)/$D83)^(-'설정'!$C$6),('설정'!$C$29*IF($A83&gt;=31,1+'설정'!$C$14*'설정'!$E$29,1)/$D83)^(-'설정'!$C$7)),0))</f>
        <v/>
      </c>
      <c r="P83" s="8">
        <f>IF($E83*'설정'!$C$5*IF(('설정'!$C$30*IF($A83&gt;=31,1+'설정'!$C$14*'설정'!$E$30,1)/$D83)&lt;1,('설정'!$C$30*IF($A83&gt;=31,1+'설정'!$C$14*'설정'!$E$30,1)/$D83)^(-'설정'!$C$6),('설정'!$C$30*IF($A83&gt;=31,1+'설정'!$C$14*'설정'!$E$30,1)/$D83)^(-'설정'!$C$7))&gt;('설정'!$C$4+'설정'!$F$30),"실패",ROUND($E83*'설정'!$C$5*IF(('설정'!$C$30*IF($A83&gt;=31,1+'설정'!$C$14*'설정'!$E$30,1)/$D83)&lt;1,('설정'!$C$30*IF($A83&gt;=31,1+'설정'!$C$14*'설정'!$E$30,1)/$D83)^(-'설정'!$C$6),('설정'!$C$30*IF($A83&gt;=31,1+'설정'!$C$14*'설정'!$E$30,1)/$D83)^(-'설정'!$C$7)),0))</f>
        <v/>
      </c>
      <c r="Q83" s="8">
        <f>IF($E83*'설정'!$C$5*IF(('설정'!$C$31*IF($A83&gt;=31,1+'설정'!$C$14*'설정'!$E$31,1)/$D83)&lt;1,('설정'!$C$31*IF($A83&gt;=31,1+'설정'!$C$14*'설정'!$E$31,1)/$D83)^(-'설정'!$C$6),('설정'!$C$31*IF($A83&gt;=31,1+'설정'!$C$14*'설정'!$E$31,1)/$D83)^(-'설정'!$C$7))&gt;('설정'!$C$4+'설정'!$F$31),"실패",ROUND($E83*'설정'!$C$5*IF(('설정'!$C$31*IF($A83&gt;=31,1+'설정'!$C$14*'설정'!$E$31,1)/$D83)&lt;1,('설정'!$C$31*IF($A83&gt;=31,1+'설정'!$C$14*'설정'!$E$31,1)/$D83)^(-'설정'!$C$6),('설정'!$C$31*IF($A83&gt;=31,1+'설정'!$C$14*'설정'!$E$31,1)/$D83)^(-'설정'!$C$7)),0))</f>
        <v/>
      </c>
      <c r="R83" s="8">
        <f>IF($E83*'설정'!$C$5*IF(('설정'!$C$32*IF($A83&gt;=31,1+'설정'!$C$14*'설정'!$E$32,1)/$D83)&lt;1,('설정'!$C$32*IF($A83&gt;=31,1+'설정'!$C$14*'설정'!$E$32,1)/$D83)^(-'설정'!$C$6),('설정'!$C$32*IF($A83&gt;=31,1+'설정'!$C$14*'설정'!$E$32,1)/$D83)^(-'설정'!$C$7))&gt;('설정'!$C$4+'설정'!$F$32),"실패",ROUND($E83*'설정'!$C$5*IF(('설정'!$C$32*IF($A83&gt;=31,1+'설정'!$C$14*'설정'!$E$32,1)/$D83)&lt;1,('설정'!$C$32*IF($A83&gt;=31,1+'설정'!$C$14*'설정'!$E$32,1)/$D83)^(-'설정'!$C$6),('설정'!$C$32*IF($A83&gt;=31,1+'설정'!$C$14*'설정'!$E$32,1)/$D83)^(-'설정'!$C$7)),0))</f>
        <v/>
      </c>
      <c r="S83" s="8">
        <f>IF($E83*'설정'!$C$5*IF(('설정'!$C$33*IF($A83&gt;=31,1+'설정'!$C$14*'설정'!$E$33,1)/$D83)&lt;1,('설정'!$C$33*IF($A83&gt;=31,1+'설정'!$C$14*'설정'!$E$33,1)/$D83)^(-'설정'!$C$6),('설정'!$C$33*IF($A83&gt;=31,1+'설정'!$C$14*'설정'!$E$33,1)/$D83)^(-'설정'!$C$7))&gt;('설정'!$C$4+'설정'!$F$33),"실패",ROUND($E83*'설정'!$C$5*IF(('설정'!$C$33*IF($A83&gt;=31,1+'설정'!$C$14*'설정'!$E$33,1)/$D83)&lt;1,('설정'!$C$33*IF($A83&gt;=31,1+'설정'!$C$14*'설정'!$E$33,1)/$D83)^(-'설정'!$C$6),('설정'!$C$33*IF($A83&gt;=31,1+'설정'!$C$14*'설정'!$E$33,1)/$D83)^(-'설정'!$C$7)),0))</f>
        <v/>
      </c>
      <c r="T83" s="8">
        <f>IF($E83*'설정'!$C$5*IF(('설정'!$C$34*IF($A83&gt;=31,1+'설정'!$C$14*'설정'!$E$34,1)/$D83)&lt;1,('설정'!$C$34*IF($A83&gt;=31,1+'설정'!$C$14*'설정'!$E$34,1)/$D83)^(-'설정'!$C$6),('설정'!$C$34*IF($A83&gt;=31,1+'설정'!$C$14*'설정'!$E$34,1)/$D83)^(-'설정'!$C$7))&gt;('설정'!$C$4+'설정'!$F$34),"실패",ROUND($E83*'설정'!$C$5*IF(('설정'!$C$34*IF($A83&gt;=31,1+'설정'!$C$14*'설정'!$E$34,1)/$D83)&lt;1,('설정'!$C$34*IF($A83&gt;=31,1+'설정'!$C$14*'설정'!$E$34,1)/$D83)^(-'설정'!$C$6),('설정'!$C$34*IF($A83&gt;=31,1+'설정'!$C$14*'설정'!$E$34,1)/$D83)^(-'설정'!$C$7)),0))</f>
        <v/>
      </c>
      <c r="U83" s="8">
        <f>IF($E83*'설정'!$C$5*IF(('설정'!$C$35*IF($A83&gt;=31,1+'설정'!$C$14*'설정'!$E$35,1)/$D83)&lt;1,('설정'!$C$35*IF($A83&gt;=31,1+'설정'!$C$14*'설정'!$E$35,1)/$D83)^(-'설정'!$C$6),('설정'!$C$35*IF($A83&gt;=31,1+'설정'!$C$14*'설정'!$E$35,1)/$D83)^(-'설정'!$C$7))&gt;('설정'!$C$4+'설정'!$F$35),"실패",ROUND($E83*'설정'!$C$5*IF(('설정'!$C$35*IF($A83&gt;=31,1+'설정'!$C$14*'설정'!$E$35,1)/$D83)&lt;1,('설정'!$C$35*IF($A83&gt;=31,1+'설정'!$C$14*'설정'!$E$35,1)/$D83)^(-'설정'!$C$6),('설정'!$C$35*IF($A83&gt;=31,1+'설정'!$C$14*'설정'!$E$35,1)/$D83)^(-'설정'!$C$7)),0))</f>
        <v/>
      </c>
      <c r="V83" s="8">
        <f>IF($E83*'설정'!$C$5*IF(('설정'!$C$36*IF($A83&gt;=31,1+'설정'!$C$14*'설정'!$E$36,1)/$D83)&lt;1,('설정'!$C$36*IF($A83&gt;=31,1+'설정'!$C$14*'설정'!$E$36,1)/$D83)^(-'설정'!$C$6),('설정'!$C$36*IF($A83&gt;=31,1+'설정'!$C$14*'설정'!$E$36,1)/$D83)^(-'설정'!$C$7))&gt;('설정'!$C$4+'설정'!$F$36),"실패",ROUND($E83*'설정'!$C$5*IF(('설정'!$C$36*IF($A83&gt;=31,1+'설정'!$C$14*'설정'!$E$36,1)/$D83)&lt;1,('설정'!$C$36*IF($A83&gt;=31,1+'설정'!$C$14*'설정'!$E$36,1)/$D83)^(-'설정'!$C$6),('설정'!$C$36*IF($A83&gt;=31,1+'설정'!$C$14*'설정'!$E$36,1)/$D83)^(-'설정'!$C$7)),0))</f>
        <v/>
      </c>
      <c r="W83" s="8">
        <f>IF($E83*'설정'!$C$5*IF(('설정'!$C$37*IF($A83&gt;=31,1+'설정'!$C$14*'설정'!$E$37,1)/$D83)&lt;1,('설정'!$C$37*IF($A83&gt;=31,1+'설정'!$C$14*'설정'!$E$37,1)/$D83)^(-'설정'!$C$6),('설정'!$C$37*IF($A83&gt;=31,1+'설정'!$C$14*'설정'!$E$37,1)/$D83)^(-'설정'!$C$7))&gt;('설정'!$C$4+'설정'!$F$37),"실패",ROUND($E83*'설정'!$C$5*IF(('설정'!$C$37*IF($A83&gt;=31,1+'설정'!$C$14*'설정'!$E$37,1)/$D83)&lt;1,('설정'!$C$37*IF($A83&gt;=31,1+'설정'!$C$14*'설정'!$E$37,1)/$D83)^(-'설정'!$C$6),('설정'!$C$37*IF($A83&gt;=31,1+'설정'!$C$14*'설정'!$E$37,1)/$D83)^(-'설정'!$C$7)),0))</f>
        <v/>
      </c>
    </row>
    <row r="84">
      <c r="A84" t="n">
        <v>82</v>
      </c>
      <c r="B84" t="inlineStr">
        <is>
          <t>쉬움</t>
        </is>
      </c>
      <c r="C84" t="inlineStr"/>
      <c r="D84" s="6" t="n">
        <v>22000000</v>
      </c>
      <c r="E84" t="n">
        <v>72</v>
      </c>
      <c r="F84" s="6" t="n">
        <v>440000</v>
      </c>
      <c r="G84" t="n">
        <v>81</v>
      </c>
      <c r="H84" s="8">
        <f>IF($E84*'설정'!$C$5*IF(('설정'!$C$22*IF($A84&gt;=31,1+'설정'!$C$14*'설정'!$E$22,1)/$D84)&lt;1,('설정'!$C$22*IF($A84&gt;=31,1+'설정'!$C$14*'설정'!$E$22,1)/$D84)^(-'설정'!$C$6),('설정'!$C$22*IF($A84&gt;=31,1+'설정'!$C$14*'설정'!$E$22,1)/$D84)^(-'설정'!$C$7))&gt;('설정'!$C$4+'설정'!$F$22),"실패",ROUND($E84*'설정'!$C$5*IF(('설정'!$C$22*IF($A84&gt;=31,1+'설정'!$C$14*'설정'!$E$22,1)/$D84)&lt;1,('설정'!$C$22*IF($A84&gt;=31,1+'설정'!$C$14*'설정'!$E$22,1)/$D84)^(-'설정'!$C$6),('설정'!$C$22*IF($A84&gt;=31,1+'설정'!$C$14*'설정'!$E$22,1)/$D84)^(-'설정'!$C$7)),0))</f>
        <v/>
      </c>
      <c r="I84" s="8">
        <f>IF($E84*'설정'!$C$5*IF(('설정'!$C$23*IF($A84&gt;=31,1+'설정'!$C$14*'설정'!$E$23,1)/$D84)&lt;1,('설정'!$C$23*IF($A84&gt;=31,1+'설정'!$C$14*'설정'!$E$23,1)/$D84)^(-'설정'!$C$6),('설정'!$C$23*IF($A84&gt;=31,1+'설정'!$C$14*'설정'!$E$23,1)/$D84)^(-'설정'!$C$7))&gt;('설정'!$C$4+'설정'!$F$23),"실패",ROUND($E84*'설정'!$C$5*IF(('설정'!$C$23*IF($A84&gt;=31,1+'설정'!$C$14*'설정'!$E$23,1)/$D84)&lt;1,('설정'!$C$23*IF($A84&gt;=31,1+'설정'!$C$14*'설정'!$E$23,1)/$D84)^(-'설정'!$C$6),('설정'!$C$23*IF($A84&gt;=31,1+'설정'!$C$14*'설정'!$E$23,1)/$D84)^(-'설정'!$C$7)),0))</f>
        <v/>
      </c>
      <c r="J84" s="8">
        <f>IF($E84*'설정'!$C$5*IF(('설정'!$C$24*IF($A84&gt;=31,1+'설정'!$C$14*'설정'!$E$24,1)/$D84)&lt;1,('설정'!$C$24*IF($A84&gt;=31,1+'설정'!$C$14*'설정'!$E$24,1)/$D84)^(-'설정'!$C$6),('설정'!$C$24*IF($A84&gt;=31,1+'설정'!$C$14*'설정'!$E$24,1)/$D84)^(-'설정'!$C$7))&gt;('설정'!$C$4+'설정'!$F$24),"실패",ROUND($E84*'설정'!$C$5*IF(('설정'!$C$24*IF($A84&gt;=31,1+'설정'!$C$14*'설정'!$E$24,1)/$D84)&lt;1,('설정'!$C$24*IF($A84&gt;=31,1+'설정'!$C$14*'설정'!$E$24,1)/$D84)^(-'설정'!$C$6),('설정'!$C$24*IF($A84&gt;=31,1+'설정'!$C$14*'설정'!$E$24,1)/$D84)^(-'설정'!$C$7)),0))</f>
        <v/>
      </c>
      <c r="K84" s="8">
        <f>IF($E84*'설정'!$C$5*IF(('설정'!$C$25*IF($A84&gt;=31,1+'설정'!$C$14*'설정'!$E$25,1)/$D84)&lt;1,('설정'!$C$25*IF($A84&gt;=31,1+'설정'!$C$14*'설정'!$E$25,1)/$D84)^(-'설정'!$C$6),('설정'!$C$25*IF($A84&gt;=31,1+'설정'!$C$14*'설정'!$E$25,1)/$D84)^(-'설정'!$C$7))&gt;('설정'!$C$4+'설정'!$F$25),"실패",ROUND($E84*'설정'!$C$5*IF(('설정'!$C$25*IF($A84&gt;=31,1+'설정'!$C$14*'설정'!$E$25,1)/$D84)&lt;1,('설정'!$C$25*IF($A84&gt;=31,1+'설정'!$C$14*'설정'!$E$25,1)/$D84)^(-'설정'!$C$6),('설정'!$C$25*IF($A84&gt;=31,1+'설정'!$C$14*'설정'!$E$25,1)/$D84)^(-'설정'!$C$7)),0))</f>
        <v/>
      </c>
      <c r="L84" s="8">
        <f>IF($E84*'설정'!$C$5*IF(('설정'!$C$26*IF($A84&gt;=31,1+'설정'!$C$14*'설정'!$E$26,1)/$D84)&lt;1,('설정'!$C$26*IF($A84&gt;=31,1+'설정'!$C$14*'설정'!$E$26,1)/$D84)^(-'설정'!$C$6),('설정'!$C$26*IF($A84&gt;=31,1+'설정'!$C$14*'설정'!$E$26,1)/$D84)^(-'설정'!$C$7))&gt;('설정'!$C$4+'설정'!$F$26),"실패",ROUND($E84*'설정'!$C$5*IF(('설정'!$C$26*IF($A84&gt;=31,1+'설정'!$C$14*'설정'!$E$26,1)/$D84)&lt;1,('설정'!$C$26*IF($A84&gt;=31,1+'설정'!$C$14*'설정'!$E$26,1)/$D84)^(-'설정'!$C$6),('설정'!$C$26*IF($A84&gt;=31,1+'설정'!$C$14*'설정'!$E$26,1)/$D84)^(-'설정'!$C$7)),0))</f>
        <v/>
      </c>
      <c r="M84" s="8">
        <f>IF($E84*'설정'!$C$5*IF(('설정'!$C$27*IF($A84&gt;=31,1+'설정'!$C$14*'설정'!$E$27,1)/$D84)&lt;1,('설정'!$C$27*IF($A84&gt;=31,1+'설정'!$C$14*'설정'!$E$27,1)/$D84)^(-'설정'!$C$6),('설정'!$C$27*IF($A84&gt;=31,1+'설정'!$C$14*'설정'!$E$27,1)/$D84)^(-'설정'!$C$7))&gt;('설정'!$C$4+'설정'!$F$27),"실패",ROUND($E84*'설정'!$C$5*IF(('설정'!$C$27*IF($A84&gt;=31,1+'설정'!$C$14*'설정'!$E$27,1)/$D84)&lt;1,('설정'!$C$27*IF($A84&gt;=31,1+'설정'!$C$14*'설정'!$E$27,1)/$D84)^(-'설정'!$C$6),('설정'!$C$27*IF($A84&gt;=31,1+'설정'!$C$14*'설정'!$E$27,1)/$D84)^(-'설정'!$C$7)),0))</f>
        <v/>
      </c>
      <c r="N84" s="8">
        <f>IF($E84*'설정'!$C$5*IF(('설정'!$C$28*IF($A84&gt;=31,1+'설정'!$C$14*'설정'!$E$28,1)/$D84)&lt;1,('설정'!$C$28*IF($A84&gt;=31,1+'설정'!$C$14*'설정'!$E$28,1)/$D84)^(-'설정'!$C$6),('설정'!$C$28*IF($A84&gt;=31,1+'설정'!$C$14*'설정'!$E$28,1)/$D84)^(-'설정'!$C$7))&gt;('설정'!$C$4+'설정'!$F$28),"실패",ROUND($E84*'설정'!$C$5*IF(('설정'!$C$28*IF($A84&gt;=31,1+'설정'!$C$14*'설정'!$E$28,1)/$D84)&lt;1,('설정'!$C$28*IF($A84&gt;=31,1+'설정'!$C$14*'설정'!$E$28,1)/$D84)^(-'설정'!$C$6),('설정'!$C$28*IF($A84&gt;=31,1+'설정'!$C$14*'설정'!$E$28,1)/$D84)^(-'설정'!$C$7)),0))</f>
        <v/>
      </c>
      <c r="O84" s="8">
        <f>IF($E84*'설정'!$C$5*IF(('설정'!$C$29*IF($A84&gt;=31,1+'설정'!$C$14*'설정'!$E$29,1)/$D84)&lt;1,('설정'!$C$29*IF($A84&gt;=31,1+'설정'!$C$14*'설정'!$E$29,1)/$D84)^(-'설정'!$C$6),('설정'!$C$29*IF($A84&gt;=31,1+'설정'!$C$14*'설정'!$E$29,1)/$D84)^(-'설정'!$C$7))&gt;('설정'!$C$4+'설정'!$F$29),"실패",ROUND($E84*'설정'!$C$5*IF(('설정'!$C$29*IF($A84&gt;=31,1+'설정'!$C$14*'설정'!$E$29,1)/$D84)&lt;1,('설정'!$C$29*IF($A84&gt;=31,1+'설정'!$C$14*'설정'!$E$29,1)/$D84)^(-'설정'!$C$6),('설정'!$C$29*IF($A84&gt;=31,1+'설정'!$C$14*'설정'!$E$29,1)/$D84)^(-'설정'!$C$7)),0))</f>
        <v/>
      </c>
      <c r="P84" s="8">
        <f>IF($E84*'설정'!$C$5*IF(('설정'!$C$30*IF($A84&gt;=31,1+'설정'!$C$14*'설정'!$E$30,1)/$D84)&lt;1,('설정'!$C$30*IF($A84&gt;=31,1+'설정'!$C$14*'설정'!$E$30,1)/$D84)^(-'설정'!$C$6),('설정'!$C$30*IF($A84&gt;=31,1+'설정'!$C$14*'설정'!$E$30,1)/$D84)^(-'설정'!$C$7))&gt;('설정'!$C$4+'설정'!$F$30),"실패",ROUND($E84*'설정'!$C$5*IF(('설정'!$C$30*IF($A84&gt;=31,1+'설정'!$C$14*'설정'!$E$30,1)/$D84)&lt;1,('설정'!$C$30*IF($A84&gt;=31,1+'설정'!$C$14*'설정'!$E$30,1)/$D84)^(-'설정'!$C$6),('설정'!$C$30*IF($A84&gt;=31,1+'설정'!$C$14*'설정'!$E$30,1)/$D84)^(-'설정'!$C$7)),0))</f>
        <v/>
      </c>
      <c r="Q84" s="8">
        <f>IF($E84*'설정'!$C$5*IF(('설정'!$C$31*IF($A84&gt;=31,1+'설정'!$C$14*'설정'!$E$31,1)/$D84)&lt;1,('설정'!$C$31*IF($A84&gt;=31,1+'설정'!$C$14*'설정'!$E$31,1)/$D84)^(-'설정'!$C$6),('설정'!$C$31*IF($A84&gt;=31,1+'설정'!$C$14*'설정'!$E$31,1)/$D84)^(-'설정'!$C$7))&gt;('설정'!$C$4+'설정'!$F$31),"실패",ROUND($E84*'설정'!$C$5*IF(('설정'!$C$31*IF($A84&gt;=31,1+'설정'!$C$14*'설정'!$E$31,1)/$D84)&lt;1,('설정'!$C$31*IF($A84&gt;=31,1+'설정'!$C$14*'설정'!$E$31,1)/$D84)^(-'설정'!$C$6),('설정'!$C$31*IF($A84&gt;=31,1+'설정'!$C$14*'설정'!$E$31,1)/$D84)^(-'설정'!$C$7)),0))</f>
        <v/>
      </c>
      <c r="R84" s="8">
        <f>IF($E84*'설정'!$C$5*IF(('설정'!$C$32*IF($A84&gt;=31,1+'설정'!$C$14*'설정'!$E$32,1)/$D84)&lt;1,('설정'!$C$32*IF($A84&gt;=31,1+'설정'!$C$14*'설정'!$E$32,1)/$D84)^(-'설정'!$C$6),('설정'!$C$32*IF($A84&gt;=31,1+'설정'!$C$14*'설정'!$E$32,1)/$D84)^(-'설정'!$C$7))&gt;('설정'!$C$4+'설정'!$F$32),"실패",ROUND($E84*'설정'!$C$5*IF(('설정'!$C$32*IF($A84&gt;=31,1+'설정'!$C$14*'설정'!$E$32,1)/$D84)&lt;1,('설정'!$C$32*IF($A84&gt;=31,1+'설정'!$C$14*'설정'!$E$32,1)/$D84)^(-'설정'!$C$6),('설정'!$C$32*IF($A84&gt;=31,1+'설정'!$C$14*'설정'!$E$32,1)/$D84)^(-'설정'!$C$7)),0))</f>
        <v/>
      </c>
      <c r="S84" s="8">
        <f>IF($E84*'설정'!$C$5*IF(('설정'!$C$33*IF($A84&gt;=31,1+'설정'!$C$14*'설정'!$E$33,1)/$D84)&lt;1,('설정'!$C$33*IF($A84&gt;=31,1+'설정'!$C$14*'설정'!$E$33,1)/$D84)^(-'설정'!$C$6),('설정'!$C$33*IF($A84&gt;=31,1+'설정'!$C$14*'설정'!$E$33,1)/$D84)^(-'설정'!$C$7))&gt;('설정'!$C$4+'설정'!$F$33),"실패",ROUND($E84*'설정'!$C$5*IF(('설정'!$C$33*IF($A84&gt;=31,1+'설정'!$C$14*'설정'!$E$33,1)/$D84)&lt;1,('설정'!$C$33*IF($A84&gt;=31,1+'설정'!$C$14*'설정'!$E$33,1)/$D84)^(-'설정'!$C$6),('설정'!$C$33*IF($A84&gt;=31,1+'설정'!$C$14*'설정'!$E$33,1)/$D84)^(-'설정'!$C$7)),0))</f>
        <v/>
      </c>
      <c r="T84" s="8">
        <f>IF($E84*'설정'!$C$5*IF(('설정'!$C$34*IF($A84&gt;=31,1+'설정'!$C$14*'설정'!$E$34,1)/$D84)&lt;1,('설정'!$C$34*IF($A84&gt;=31,1+'설정'!$C$14*'설정'!$E$34,1)/$D84)^(-'설정'!$C$6),('설정'!$C$34*IF($A84&gt;=31,1+'설정'!$C$14*'설정'!$E$34,1)/$D84)^(-'설정'!$C$7))&gt;('설정'!$C$4+'설정'!$F$34),"실패",ROUND($E84*'설정'!$C$5*IF(('설정'!$C$34*IF($A84&gt;=31,1+'설정'!$C$14*'설정'!$E$34,1)/$D84)&lt;1,('설정'!$C$34*IF($A84&gt;=31,1+'설정'!$C$14*'설정'!$E$34,1)/$D84)^(-'설정'!$C$6),('설정'!$C$34*IF($A84&gt;=31,1+'설정'!$C$14*'설정'!$E$34,1)/$D84)^(-'설정'!$C$7)),0))</f>
        <v/>
      </c>
      <c r="U84" s="8">
        <f>IF($E84*'설정'!$C$5*IF(('설정'!$C$35*IF($A84&gt;=31,1+'설정'!$C$14*'설정'!$E$35,1)/$D84)&lt;1,('설정'!$C$35*IF($A84&gt;=31,1+'설정'!$C$14*'설정'!$E$35,1)/$D84)^(-'설정'!$C$6),('설정'!$C$35*IF($A84&gt;=31,1+'설정'!$C$14*'설정'!$E$35,1)/$D84)^(-'설정'!$C$7))&gt;('설정'!$C$4+'설정'!$F$35),"실패",ROUND($E84*'설정'!$C$5*IF(('설정'!$C$35*IF($A84&gt;=31,1+'설정'!$C$14*'설정'!$E$35,1)/$D84)&lt;1,('설정'!$C$35*IF($A84&gt;=31,1+'설정'!$C$14*'설정'!$E$35,1)/$D84)^(-'설정'!$C$6),('설정'!$C$35*IF($A84&gt;=31,1+'설정'!$C$14*'설정'!$E$35,1)/$D84)^(-'설정'!$C$7)),0))</f>
        <v/>
      </c>
      <c r="V84" s="8">
        <f>IF($E84*'설정'!$C$5*IF(('설정'!$C$36*IF($A84&gt;=31,1+'설정'!$C$14*'설정'!$E$36,1)/$D84)&lt;1,('설정'!$C$36*IF($A84&gt;=31,1+'설정'!$C$14*'설정'!$E$36,1)/$D84)^(-'설정'!$C$6),('설정'!$C$36*IF($A84&gt;=31,1+'설정'!$C$14*'설정'!$E$36,1)/$D84)^(-'설정'!$C$7))&gt;('설정'!$C$4+'설정'!$F$36),"실패",ROUND($E84*'설정'!$C$5*IF(('설정'!$C$36*IF($A84&gt;=31,1+'설정'!$C$14*'설정'!$E$36,1)/$D84)&lt;1,('설정'!$C$36*IF($A84&gt;=31,1+'설정'!$C$14*'설정'!$E$36,1)/$D84)^(-'설정'!$C$6),('설정'!$C$36*IF($A84&gt;=31,1+'설정'!$C$14*'설정'!$E$36,1)/$D84)^(-'설정'!$C$7)),0))</f>
        <v/>
      </c>
      <c r="W84" s="8">
        <f>IF($E84*'설정'!$C$5*IF(('설정'!$C$37*IF($A84&gt;=31,1+'설정'!$C$14*'설정'!$E$37,1)/$D84)&lt;1,('설정'!$C$37*IF($A84&gt;=31,1+'설정'!$C$14*'설정'!$E$37,1)/$D84)^(-'설정'!$C$6),('설정'!$C$37*IF($A84&gt;=31,1+'설정'!$C$14*'설정'!$E$37,1)/$D84)^(-'설정'!$C$7))&gt;('설정'!$C$4+'설정'!$F$37),"실패",ROUND($E84*'설정'!$C$5*IF(('설정'!$C$37*IF($A84&gt;=31,1+'설정'!$C$14*'설정'!$E$37,1)/$D84)&lt;1,('설정'!$C$37*IF($A84&gt;=31,1+'설정'!$C$14*'설정'!$E$37,1)/$D84)^(-'설정'!$C$6),('설정'!$C$37*IF($A84&gt;=31,1+'설정'!$C$14*'설정'!$E$37,1)/$D84)^(-'설정'!$C$7)),0))</f>
        <v/>
      </c>
    </row>
    <row r="85">
      <c r="A85" t="n">
        <v>83</v>
      </c>
      <c r="B85" t="inlineStr">
        <is>
          <t>보통</t>
        </is>
      </c>
      <c r="C85" t="inlineStr"/>
      <c r="D85" s="6" t="n">
        <v>22900000</v>
      </c>
      <c r="E85" t="n">
        <v>72</v>
      </c>
      <c r="F85" s="6" t="n">
        <v>459000</v>
      </c>
      <c r="G85" t="n">
        <v>81</v>
      </c>
      <c r="H85" s="8">
        <f>IF($E85*'설정'!$C$5*IF(('설정'!$C$22*IF($A85&gt;=31,1+'설정'!$C$14*'설정'!$E$22,1)/$D85)&lt;1,('설정'!$C$22*IF($A85&gt;=31,1+'설정'!$C$14*'설정'!$E$22,1)/$D85)^(-'설정'!$C$6),('설정'!$C$22*IF($A85&gt;=31,1+'설정'!$C$14*'설정'!$E$22,1)/$D85)^(-'설정'!$C$7))&gt;('설정'!$C$4+'설정'!$F$22),"실패",ROUND($E85*'설정'!$C$5*IF(('설정'!$C$22*IF($A85&gt;=31,1+'설정'!$C$14*'설정'!$E$22,1)/$D85)&lt;1,('설정'!$C$22*IF($A85&gt;=31,1+'설정'!$C$14*'설정'!$E$22,1)/$D85)^(-'설정'!$C$6),('설정'!$C$22*IF($A85&gt;=31,1+'설정'!$C$14*'설정'!$E$22,1)/$D85)^(-'설정'!$C$7)),0))</f>
        <v/>
      </c>
      <c r="I85" s="8">
        <f>IF($E85*'설정'!$C$5*IF(('설정'!$C$23*IF($A85&gt;=31,1+'설정'!$C$14*'설정'!$E$23,1)/$D85)&lt;1,('설정'!$C$23*IF($A85&gt;=31,1+'설정'!$C$14*'설정'!$E$23,1)/$D85)^(-'설정'!$C$6),('설정'!$C$23*IF($A85&gt;=31,1+'설정'!$C$14*'설정'!$E$23,1)/$D85)^(-'설정'!$C$7))&gt;('설정'!$C$4+'설정'!$F$23),"실패",ROUND($E85*'설정'!$C$5*IF(('설정'!$C$23*IF($A85&gt;=31,1+'설정'!$C$14*'설정'!$E$23,1)/$D85)&lt;1,('설정'!$C$23*IF($A85&gt;=31,1+'설정'!$C$14*'설정'!$E$23,1)/$D85)^(-'설정'!$C$6),('설정'!$C$23*IF($A85&gt;=31,1+'설정'!$C$14*'설정'!$E$23,1)/$D85)^(-'설정'!$C$7)),0))</f>
        <v/>
      </c>
      <c r="J85" s="8">
        <f>IF($E85*'설정'!$C$5*IF(('설정'!$C$24*IF($A85&gt;=31,1+'설정'!$C$14*'설정'!$E$24,1)/$D85)&lt;1,('설정'!$C$24*IF($A85&gt;=31,1+'설정'!$C$14*'설정'!$E$24,1)/$D85)^(-'설정'!$C$6),('설정'!$C$24*IF($A85&gt;=31,1+'설정'!$C$14*'설정'!$E$24,1)/$D85)^(-'설정'!$C$7))&gt;('설정'!$C$4+'설정'!$F$24),"실패",ROUND($E85*'설정'!$C$5*IF(('설정'!$C$24*IF($A85&gt;=31,1+'설정'!$C$14*'설정'!$E$24,1)/$D85)&lt;1,('설정'!$C$24*IF($A85&gt;=31,1+'설정'!$C$14*'설정'!$E$24,1)/$D85)^(-'설정'!$C$6),('설정'!$C$24*IF($A85&gt;=31,1+'설정'!$C$14*'설정'!$E$24,1)/$D85)^(-'설정'!$C$7)),0))</f>
        <v/>
      </c>
      <c r="K85" s="8">
        <f>IF($E85*'설정'!$C$5*IF(('설정'!$C$25*IF($A85&gt;=31,1+'설정'!$C$14*'설정'!$E$25,1)/$D85)&lt;1,('설정'!$C$25*IF($A85&gt;=31,1+'설정'!$C$14*'설정'!$E$25,1)/$D85)^(-'설정'!$C$6),('설정'!$C$25*IF($A85&gt;=31,1+'설정'!$C$14*'설정'!$E$25,1)/$D85)^(-'설정'!$C$7))&gt;('설정'!$C$4+'설정'!$F$25),"실패",ROUND($E85*'설정'!$C$5*IF(('설정'!$C$25*IF($A85&gt;=31,1+'설정'!$C$14*'설정'!$E$25,1)/$D85)&lt;1,('설정'!$C$25*IF($A85&gt;=31,1+'설정'!$C$14*'설정'!$E$25,1)/$D85)^(-'설정'!$C$6),('설정'!$C$25*IF($A85&gt;=31,1+'설정'!$C$14*'설정'!$E$25,1)/$D85)^(-'설정'!$C$7)),0))</f>
        <v/>
      </c>
      <c r="L85" s="8">
        <f>IF($E85*'설정'!$C$5*IF(('설정'!$C$26*IF($A85&gt;=31,1+'설정'!$C$14*'설정'!$E$26,1)/$D85)&lt;1,('설정'!$C$26*IF($A85&gt;=31,1+'설정'!$C$14*'설정'!$E$26,1)/$D85)^(-'설정'!$C$6),('설정'!$C$26*IF($A85&gt;=31,1+'설정'!$C$14*'설정'!$E$26,1)/$D85)^(-'설정'!$C$7))&gt;('설정'!$C$4+'설정'!$F$26),"실패",ROUND($E85*'설정'!$C$5*IF(('설정'!$C$26*IF($A85&gt;=31,1+'설정'!$C$14*'설정'!$E$26,1)/$D85)&lt;1,('설정'!$C$26*IF($A85&gt;=31,1+'설정'!$C$14*'설정'!$E$26,1)/$D85)^(-'설정'!$C$6),('설정'!$C$26*IF($A85&gt;=31,1+'설정'!$C$14*'설정'!$E$26,1)/$D85)^(-'설정'!$C$7)),0))</f>
        <v/>
      </c>
      <c r="M85" s="8">
        <f>IF($E85*'설정'!$C$5*IF(('설정'!$C$27*IF($A85&gt;=31,1+'설정'!$C$14*'설정'!$E$27,1)/$D85)&lt;1,('설정'!$C$27*IF($A85&gt;=31,1+'설정'!$C$14*'설정'!$E$27,1)/$D85)^(-'설정'!$C$6),('설정'!$C$27*IF($A85&gt;=31,1+'설정'!$C$14*'설정'!$E$27,1)/$D85)^(-'설정'!$C$7))&gt;('설정'!$C$4+'설정'!$F$27),"실패",ROUND($E85*'설정'!$C$5*IF(('설정'!$C$27*IF($A85&gt;=31,1+'설정'!$C$14*'설정'!$E$27,1)/$D85)&lt;1,('설정'!$C$27*IF($A85&gt;=31,1+'설정'!$C$14*'설정'!$E$27,1)/$D85)^(-'설정'!$C$6),('설정'!$C$27*IF($A85&gt;=31,1+'설정'!$C$14*'설정'!$E$27,1)/$D85)^(-'설정'!$C$7)),0))</f>
        <v/>
      </c>
      <c r="N85" s="8">
        <f>IF($E85*'설정'!$C$5*IF(('설정'!$C$28*IF($A85&gt;=31,1+'설정'!$C$14*'설정'!$E$28,1)/$D85)&lt;1,('설정'!$C$28*IF($A85&gt;=31,1+'설정'!$C$14*'설정'!$E$28,1)/$D85)^(-'설정'!$C$6),('설정'!$C$28*IF($A85&gt;=31,1+'설정'!$C$14*'설정'!$E$28,1)/$D85)^(-'설정'!$C$7))&gt;('설정'!$C$4+'설정'!$F$28),"실패",ROUND($E85*'설정'!$C$5*IF(('설정'!$C$28*IF($A85&gt;=31,1+'설정'!$C$14*'설정'!$E$28,1)/$D85)&lt;1,('설정'!$C$28*IF($A85&gt;=31,1+'설정'!$C$14*'설정'!$E$28,1)/$D85)^(-'설정'!$C$6),('설정'!$C$28*IF($A85&gt;=31,1+'설정'!$C$14*'설정'!$E$28,1)/$D85)^(-'설정'!$C$7)),0))</f>
        <v/>
      </c>
      <c r="O85" s="8">
        <f>IF($E85*'설정'!$C$5*IF(('설정'!$C$29*IF($A85&gt;=31,1+'설정'!$C$14*'설정'!$E$29,1)/$D85)&lt;1,('설정'!$C$29*IF($A85&gt;=31,1+'설정'!$C$14*'설정'!$E$29,1)/$D85)^(-'설정'!$C$6),('설정'!$C$29*IF($A85&gt;=31,1+'설정'!$C$14*'설정'!$E$29,1)/$D85)^(-'설정'!$C$7))&gt;('설정'!$C$4+'설정'!$F$29),"실패",ROUND($E85*'설정'!$C$5*IF(('설정'!$C$29*IF($A85&gt;=31,1+'설정'!$C$14*'설정'!$E$29,1)/$D85)&lt;1,('설정'!$C$29*IF($A85&gt;=31,1+'설정'!$C$14*'설정'!$E$29,1)/$D85)^(-'설정'!$C$6),('설정'!$C$29*IF($A85&gt;=31,1+'설정'!$C$14*'설정'!$E$29,1)/$D85)^(-'설정'!$C$7)),0))</f>
        <v/>
      </c>
      <c r="P85" s="8">
        <f>IF($E85*'설정'!$C$5*IF(('설정'!$C$30*IF($A85&gt;=31,1+'설정'!$C$14*'설정'!$E$30,1)/$D85)&lt;1,('설정'!$C$30*IF($A85&gt;=31,1+'설정'!$C$14*'설정'!$E$30,1)/$D85)^(-'설정'!$C$6),('설정'!$C$30*IF($A85&gt;=31,1+'설정'!$C$14*'설정'!$E$30,1)/$D85)^(-'설정'!$C$7))&gt;('설정'!$C$4+'설정'!$F$30),"실패",ROUND($E85*'설정'!$C$5*IF(('설정'!$C$30*IF($A85&gt;=31,1+'설정'!$C$14*'설정'!$E$30,1)/$D85)&lt;1,('설정'!$C$30*IF($A85&gt;=31,1+'설정'!$C$14*'설정'!$E$30,1)/$D85)^(-'설정'!$C$6),('설정'!$C$30*IF($A85&gt;=31,1+'설정'!$C$14*'설정'!$E$30,1)/$D85)^(-'설정'!$C$7)),0))</f>
        <v/>
      </c>
      <c r="Q85" s="8">
        <f>IF($E85*'설정'!$C$5*IF(('설정'!$C$31*IF($A85&gt;=31,1+'설정'!$C$14*'설정'!$E$31,1)/$D85)&lt;1,('설정'!$C$31*IF($A85&gt;=31,1+'설정'!$C$14*'설정'!$E$31,1)/$D85)^(-'설정'!$C$6),('설정'!$C$31*IF($A85&gt;=31,1+'설정'!$C$14*'설정'!$E$31,1)/$D85)^(-'설정'!$C$7))&gt;('설정'!$C$4+'설정'!$F$31),"실패",ROUND($E85*'설정'!$C$5*IF(('설정'!$C$31*IF($A85&gt;=31,1+'설정'!$C$14*'설정'!$E$31,1)/$D85)&lt;1,('설정'!$C$31*IF($A85&gt;=31,1+'설정'!$C$14*'설정'!$E$31,1)/$D85)^(-'설정'!$C$6),('설정'!$C$31*IF($A85&gt;=31,1+'설정'!$C$14*'설정'!$E$31,1)/$D85)^(-'설정'!$C$7)),0))</f>
        <v/>
      </c>
      <c r="R85" s="8">
        <f>IF($E85*'설정'!$C$5*IF(('설정'!$C$32*IF($A85&gt;=31,1+'설정'!$C$14*'설정'!$E$32,1)/$D85)&lt;1,('설정'!$C$32*IF($A85&gt;=31,1+'설정'!$C$14*'설정'!$E$32,1)/$D85)^(-'설정'!$C$6),('설정'!$C$32*IF($A85&gt;=31,1+'설정'!$C$14*'설정'!$E$32,1)/$D85)^(-'설정'!$C$7))&gt;('설정'!$C$4+'설정'!$F$32),"실패",ROUND($E85*'설정'!$C$5*IF(('설정'!$C$32*IF($A85&gt;=31,1+'설정'!$C$14*'설정'!$E$32,1)/$D85)&lt;1,('설정'!$C$32*IF($A85&gt;=31,1+'설정'!$C$14*'설정'!$E$32,1)/$D85)^(-'설정'!$C$6),('설정'!$C$32*IF($A85&gt;=31,1+'설정'!$C$14*'설정'!$E$32,1)/$D85)^(-'설정'!$C$7)),0))</f>
        <v/>
      </c>
      <c r="S85" s="8">
        <f>IF($E85*'설정'!$C$5*IF(('설정'!$C$33*IF($A85&gt;=31,1+'설정'!$C$14*'설정'!$E$33,1)/$D85)&lt;1,('설정'!$C$33*IF($A85&gt;=31,1+'설정'!$C$14*'설정'!$E$33,1)/$D85)^(-'설정'!$C$6),('설정'!$C$33*IF($A85&gt;=31,1+'설정'!$C$14*'설정'!$E$33,1)/$D85)^(-'설정'!$C$7))&gt;('설정'!$C$4+'설정'!$F$33),"실패",ROUND($E85*'설정'!$C$5*IF(('설정'!$C$33*IF($A85&gt;=31,1+'설정'!$C$14*'설정'!$E$33,1)/$D85)&lt;1,('설정'!$C$33*IF($A85&gt;=31,1+'설정'!$C$14*'설정'!$E$33,1)/$D85)^(-'설정'!$C$6),('설정'!$C$33*IF($A85&gt;=31,1+'설정'!$C$14*'설정'!$E$33,1)/$D85)^(-'설정'!$C$7)),0))</f>
        <v/>
      </c>
      <c r="T85" s="8">
        <f>IF($E85*'설정'!$C$5*IF(('설정'!$C$34*IF($A85&gt;=31,1+'설정'!$C$14*'설정'!$E$34,1)/$D85)&lt;1,('설정'!$C$34*IF($A85&gt;=31,1+'설정'!$C$14*'설정'!$E$34,1)/$D85)^(-'설정'!$C$6),('설정'!$C$34*IF($A85&gt;=31,1+'설정'!$C$14*'설정'!$E$34,1)/$D85)^(-'설정'!$C$7))&gt;('설정'!$C$4+'설정'!$F$34),"실패",ROUND($E85*'설정'!$C$5*IF(('설정'!$C$34*IF($A85&gt;=31,1+'설정'!$C$14*'설정'!$E$34,1)/$D85)&lt;1,('설정'!$C$34*IF($A85&gt;=31,1+'설정'!$C$14*'설정'!$E$34,1)/$D85)^(-'설정'!$C$6),('설정'!$C$34*IF($A85&gt;=31,1+'설정'!$C$14*'설정'!$E$34,1)/$D85)^(-'설정'!$C$7)),0))</f>
        <v/>
      </c>
      <c r="U85" s="8">
        <f>IF($E85*'설정'!$C$5*IF(('설정'!$C$35*IF($A85&gt;=31,1+'설정'!$C$14*'설정'!$E$35,1)/$D85)&lt;1,('설정'!$C$35*IF($A85&gt;=31,1+'설정'!$C$14*'설정'!$E$35,1)/$D85)^(-'설정'!$C$6),('설정'!$C$35*IF($A85&gt;=31,1+'설정'!$C$14*'설정'!$E$35,1)/$D85)^(-'설정'!$C$7))&gt;('설정'!$C$4+'설정'!$F$35),"실패",ROUND($E85*'설정'!$C$5*IF(('설정'!$C$35*IF($A85&gt;=31,1+'설정'!$C$14*'설정'!$E$35,1)/$D85)&lt;1,('설정'!$C$35*IF($A85&gt;=31,1+'설정'!$C$14*'설정'!$E$35,1)/$D85)^(-'설정'!$C$6),('설정'!$C$35*IF($A85&gt;=31,1+'설정'!$C$14*'설정'!$E$35,1)/$D85)^(-'설정'!$C$7)),0))</f>
        <v/>
      </c>
      <c r="V85" s="8">
        <f>IF($E85*'설정'!$C$5*IF(('설정'!$C$36*IF($A85&gt;=31,1+'설정'!$C$14*'설정'!$E$36,1)/$D85)&lt;1,('설정'!$C$36*IF($A85&gt;=31,1+'설정'!$C$14*'설정'!$E$36,1)/$D85)^(-'설정'!$C$6),('설정'!$C$36*IF($A85&gt;=31,1+'설정'!$C$14*'설정'!$E$36,1)/$D85)^(-'설정'!$C$7))&gt;('설정'!$C$4+'설정'!$F$36),"실패",ROUND($E85*'설정'!$C$5*IF(('설정'!$C$36*IF($A85&gt;=31,1+'설정'!$C$14*'설정'!$E$36,1)/$D85)&lt;1,('설정'!$C$36*IF($A85&gt;=31,1+'설정'!$C$14*'설정'!$E$36,1)/$D85)^(-'설정'!$C$6),('설정'!$C$36*IF($A85&gt;=31,1+'설정'!$C$14*'설정'!$E$36,1)/$D85)^(-'설정'!$C$7)),0))</f>
        <v/>
      </c>
      <c r="W85" s="8">
        <f>IF($E85*'설정'!$C$5*IF(('설정'!$C$37*IF($A85&gt;=31,1+'설정'!$C$14*'설정'!$E$37,1)/$D85)&lt;1,('설정'!$C$37*IF($A85&gt;=31,1+'설정'!$C$14*'설정'!$E$37,1)/$D85)^(-'설정'!$C$6),('설정'!$C$37*IF($A85&gt;=31,1+'설정'!$C$14*'설정'!$E$37,1)/$D85)^(-'설정'!$C$7))&gt;('설정'!$C$4+'설정'!$F$37),"실패",ROUND($E85*'설정'!$C$5*IF(('설정'!$C$37*IF($A85&gt;=31,1+'설정'!$C$14*'설정'!$E$37,1)/$D85)&lt;1,('설정'!$C$37*IF($A85&gt;=31,1+'설정'!$C$14*'설정'!$E$37,1)/$D85)^(-'설정'!$C$6),('설정'!$C$37*IF($A85&gt;=31,1+'설정'!$C$14*'설정'!$E$37,1)/$D85)^(-'설정'!$C$7)),0))</f>
        <v/>
      </c>
    </row>
    <row r="86">
      <c r="A86" t="n">
        <v>84</v>
      </c>
      <c r="B86" t="inlineStr">
        <is>
          <t>보통</t>
        </is>
      </c>
      <c r="C86" t="inlineStr"/>
      <c r="D86" s="6" t="n">
        <v>23900000</v>
      </c>
      <c r="E86" t="n">
        <v>72</v>
      </c>
      <c r="F86" s="6" t="n">
        <v>478000</v>
      </c>
      <c r="G86" t="n">
        <v>81</v>
      </c>
      <c r="H86" s="8">
        <f>IF($E86*'설정'!$C$5*IF(('설정'!$C$22*IF($A86&gt;=31,1+'설정'!$C$14*'설정'!$E$22,1)/$D86)&lt;1,('설정'!$C$22*IF($A86&gt;=31,1+'설정'!$C$14*'설정'!$E$22,1)/$D86)^(-'설정'!$C$6),('설정'!$C$22*IF($A86&gt;=31,1+'설정'!$C$14*'설정'!$E$22,1)/$D86)^(-'설정'!$C$7))&gt;('설정'!$C$4+'설정'!$F$22),"실패",ROUND($E86*'설정'!$C$5*IF(('설정'!$C$22*IF($A86&gt;=31,1+'설정'!$C$14*'설정'!$E$22,1)/$D86)&lt;1,('설정'!$C$22*IF($A86&gt;=31,1+'설정'!$C$14*'설정'!$E$22,1)/$D86)^(-'설정'!$C$6),('설정'!$C$22*IF($A86&gt;=31,1+'설정'!$C$14*'설정'!$E$22,1)/$D86)^(-'설정'!$C$7)),0))</f>
        <v/>
      </c>
      <c r="I86" s="8">
        <f>IF($E86*'설정'!$C$5*IF(('설정'!$C$23*IF($A86&gt;=31,1+'설정'!$C$14*'설정'!$E$23,1)/$D86)&lt;1,('설정'!$C$23*IF($A86&gt;=31,1+'설정'!$C$14*'설정'!$E$23,1)/$D86)^(-'설정'!$C$6),('설정'!$C$23*IF($A86&gt;=31,1+'설정'!$C$14*'설정'!$E$23,1)/$D86)^(-'설정'!$C$7))&gt;('설정'!$C$4+'설정'!$F$23),"실패",ROUND($E86*'설정'!$C$5*IF(('설정'!$C$23*IF($A86&gt;=31,1+'설정'!$C$14*'설정'!$E$23,1)/$D86)&lt;1,('설정'!$C$23*IF($A86&gt;=31,1+'설정'!$C$14*'설정'!$E$23,1)/$D86)^(-'설정'!$C$6),('설정'!$C$23*IF($A86&gt;=31,1+'설정'!$C$14*'설정'!$E$23,1)/$D86)^(-'설정'!$C$7)),0))</f>
        <v/>
      </c>
      <c r="J86" s="8">
        <f>IF($E86*'설정'!$C$5*IF(('설정'!$C$24*IF($A86&gt;=31,1+'설정'!$C$14*'설정'!$E$24,1)/$D86)&lt;1,('설정'!$C$24*IF($A86&gt;=31,1+'설정'!$C$14*'설정'!$E$24,1)/$D86)^(-'설정'!$C$6),('설정'!$C$24*IF($A86&gt;=31,1+'설정'!$C$14*'설정'!$E$24,1)/$D86)^(-'설정'!$C$7))&gt;('설정'!$C$4+'설정'!$F$24),"실패",ROUND($E86*'설정'!$C$5*IF(('설정'!$C$24*IF($A86&gt;=31,1+'설정'!$C$14*'설정'!$E$24,1)/$D86)&lt;1,('설정'!$C$24*IF($A86&gt;=31,1+'설정'!$C$14*'설정'!$E$24,1)/$D86)^(-'설정'!$C$6),('설정'!$C$24*IF($A86&gt;=31,1+'설정'!$C$14*'설정'!$E$24,1)/$D86)^(-'설정'!$C$7)),0))</f>
        <v/>
      </c>
      <c r="K86" s="8">
        <f>IF($E86*'설정'!$C$5*IF(('설정'!$C$25*IF($A86&gt;=31,1+'설정'!$C$14*'설정'!$E$25,1)/$D86)&lt;1,('설정'!$C$25*IF($A86&gt;=31,1+'설정'!$C$14*'설정'!$E$25,1)/$D86)^(-'설정'!$C$6),('설정'!$C$25*IF($A86&gt;=31,1+'설정'!$C$14*'설정'!$E$25,1)/$D86)^(-'설정'!$C$7))&gt;('설정'!$C$4+'설정'!$F$25),"실패",ROUND($E86*'설정'!$C$5*IF(('설정'!$C$25*IF($A86&gt;=31,1+'설정'!$C$14*'설정'!$E$25,1)/$D86)&lt;1,('설정'!$C$25*IF($A86&gt;=31,1+'설정'!$C$14*'설정'!$E$25,1)/$D86)^(-'설정'!$C$6),('설정'!$C$25*IF($A86&gt;=31,1+'설정'!$C$14*'설정'!$E$25,1)/$D86)^(-'설정'!$C$7)),0))</f>
        <v/>
      </c>
      <c r="L86" s="8">
        <f>IF($E86*'설정'!$C$5*IF(('설정'!$C$26*IF($A86&gt;=31,1+'설정'!$C$14*'설정'!$E$26,1)/$D86)&lt;1,('설정'!$C$26*IF($A86&gt;=31,1+'설정'!$C$14*'설정'!$E$26,1)/$D86)^(-'설정'!$C$6),('설정'!$C$26*IF($A86&gt;=31,1+'설정'!$C$14*'설정'!$E$26,1)/$D86)^(-'설정'!$C$7))&gt;('설정'!$C$4+'설정'!$F$26),"실패",ROUND($E86*'설정'!$C$5*IF(('설정'!$C$26*IF($A86&gt;=31,1+'설정'!$C$14*'설정'!$E$26,1)/$D86)&lt;1,('설정'!$C$26*IF($A86&gt;=31,1+'설정'!$C$14*'설정'!$E$26,1)/$D86)^(-'설정'!$C$6),('설정'!$C$26*IF($A86&gt;=31,1+'설정'!$C$14*'설정'!$E$26,1)/$D86)^(-'설정'!$C$7)),0))</f>
        <v/>
      </c>
      <c r="M86" s="8">
        <f>IF($E86*'설정'!$C$5*IF(('설정'!$C$27*IF($A86&gt;=31,1+'설정'!$C$14*'설정'!$E$27,1)/$D86)&lt;1,('설정'!$C$27*IF($A86&gt;=31,1+'설정'!$C$14*'설정'!$E$27,1)/$D86)^(-'설정'!$C$6),('설정'!$C$27*IF($A86&gt;=31,1+'설정'!$C$14*'설정'!$E$27,1)/$D86)^(-'설정'!$C$7))&gt;('설정'!$C$4+'설정'!$F$27),"실패",ROUND($E86*'설정'!$C$5*IF(('설정'!$C$27*IF($A86&gt;=31,1+'설정'!$C$14*'설정'!$E$27,1)/$D86)&lt;1,('설정'!$C$27*IF($A86&gt;=31,1+'설정'!$C$14*'설정'!$E$27,1)/$D86)^(-'설정'!$C$6),('설정'!$C$27*IF($A86&gt;=31,1+'설정'!$C$14*'설정'!$E$27,1)/$D86)^(-'설정'!$C$7)),0))</f>
        <v/>
      </c>
      <c r="N86" s="8">
        <f>IF($E86*'설정'!$C$5*IF(('설정'!$C$28*IF($A86&gt;=31,1+'설정'!$C$14*'설정'!$E$28,1)/$D86)&lt;1,('설정'!$C$28*IF($A86&gt;=31,1+'설정'!$C$14*'설정'!$E$28,1)/$D86)^(-'설정'!$C$6),('설정'!$C$28*IF($A86&gt;=31,1+'설정'!$C$14*'설정'!$E$28,1)/$D86)^(-'설정'!$C$7))&gt;('설정'!$C$4+'설정'!$F$28),"실패",ROUND($E86*'설정'!$C$5*IF(('설정'!$C$28*IF($A86&gt;=31,1+'설정'!$C$14*'설정'!$E$28,1)/$D86)&lt;1,('설정'!$C$28*IF($A86&gt;=31,1+'설정'!$C$14*'설정'!$E$28,1)/$D86)^(-'설정'!$C$6),('설정'!$C$28*IF($A86&gt;=31,1+'설정'!$C$14*'설정'!$E$28,1)/$D86)^(-'설정'!$C$7)),0))</f>
        <v/>
      </c>
      <c r="O86" s="8">
        <f>IF($E86*'설정'!$C$5*IF(('설정'!$C$29*IF($A86&gt;=31,1+'설정'!$C$14*'설정'!$E$29,1)/$D86)&lt;1,('설정'!$C$29*IF($A86&gt;=31,1+'설정'!$C$14*'설정'!$E$29,1)/$D86)^(-'설정'!$C$6),('설정'!$C$29*IF($A86&gt;=31,1+'설정'!$C$14*'설정'!$E$29,1)/$D86)^(-'설정'!$C$7))&gt;('설정'!$C$4+'설정'!$F$29),"실패",ROUND($E86*'설정'!$C$5*IF(('설정'!$C$29*IF($A86&gt;=31,1+'설정'!$C$14*'설정'!$E$29,1)/$D86)&lt;1,('설정'!$C$29*IF($A86&gt;=31,1+'설정'!$C$14*'설정'!$E$29,1)/$D86)^(-'설정'!$C$6),('설정'!$C$29*IF($A86&gt;=31,1+'설정'!$C$14*'설정'!$E$29,1)/$D86)^(-'설정'!$C$7)),0))</f>
        <v/>
      </c>
      <c r="P86" s="8">
        <f>IF($E86*'설정'!$C$5*IF(('설정'!$C$30*IF($A86&gt;=31,1+'설정'!$C$14*'설정'!$E$30,1)/$D86)&lt;1,('설정'!$C$30*IF($A86&gt;=31,1+'설정'!$C$14*'설정'!$E$30,1)/$D86)^(-'설정'!$C$6),('설정'!$C$30*IF($A86&gt;=31,1+'설정'!$C$14*'설정'!$E$30,1)/$D86)^(-'설정'!$C$7))&gt;('설정'!$C$4+'설정'!$F$30),"실패",ROUND($E86*'설정'!$C$5*IF(('설정'!$C$30*IF($A86&gt;=31,1+'설정'!$C$14*'설정'!$E$30,1)/$D86)&lt;1,('설정'!$C$30*IF($A86&gt;=31,1+'설정'!$C$14*'설정'!$E$30,1)/$D86)^(-'설정'!$C$6),('설정'!$C$30*IF($A86&gt;=31,1+'설정'!$C$14*'설정'!$E$30,1)/$D86)^(-'설정'!$C$7)),0))</f>
        <v/>
      </c>
      <c r="Q86" s="8">
        <f>IF($E86*'설정'!$C$5*IF(('설정'!$C$31*IF($A86&gt;=31,1+'설정'!$C$14*'설정'!$E$31,1)/$D86)&lt;1,('설정'!$C$31*IF($A86&gt;=31,1+'설정'!$C$14*'설정'!$E$31,1)/$D86)^(-'설정'!$C$6),('설정'!$C$31*IF($A86&gt;=31,1+'설정'!$C$14*'설정'!$E$31,1)/$D86)^(-'설정'!$C$7))&gt;('설정'!$C$4+'설정'!$F$31),"실패",ROUND($E86*'설정'!$C$5*IF(('설정'!$C$31*IF($A86&gt;=31,1+'설정'!$C$14*'설정'!$E$31,1)/$D86)&lt;1,('설정'!$C$31*IF($A86&gt;=31,1+'설정'!$C$14*'설정'!$E$31,1)/$D86)^(-'설정'!$C$6),('설정'!$C$31*IF($A86&gt;=31,1+'설정'!$C$14*'설정'!$E$31,1)/$D86)^(-'설정'!$C$7)),0))</f>
        <v/>
      </c>
      <c r="R86" s="8">
        <f>IF($E86*'설정'!$C$5*IF(('설정'!$C$32*IF($A86&gt;=31,1+'설정'!$C$14*'설정'!$E$32,1)/$D86)&lt;1,('설정'!$C$32*IF($A86&gt;=31,1+'설정'!$C$14*'설정'!$E$32,1)/$D86)^(-'설정'!$C$6),('설정'!$C$32*IF($A86&gt;=31,1+'설정'!$C$14*'설정'!$E$32,1)/$D86)^(-'설정'!$C$7))&gt;('설정'!$C$4+'설정'!$F$32),"실패",ROUND($E86*'설정'!$C$5*IF(('설정'!$C$32*IF($A86&gt;=31,1+'설정'!$C$14*'설정'!$E$32,1)/$D86)&lt;1,('설정'!$C$32*IF($A86&gt;=31,1+'설정'!$C$14*'설정'!$E$32,1)/$D86)^(-'설정'!$C$6),('설정'!$C$32*IF($A86&gt;=31,1+'설정'!$C$14*'설정'!$E$32,1)/$D86)^(-'설정'!$C$7)),0))</f>
        <v/>
      </c>
      <c r="S86" s="8">
        <f>IF($E86*'설정'!$C$5*IF(('설정'!$C$33*IF($A86&gt;=31,1+'설정'!$C$14*'설정'!$E$33,1)/$D86)&lt;1,('설정'!$C$33*IF($A86&gt;=31,1+'설정'!$C$14*'설정'!$E$33,1)/$D86)^(-'설정'!$C$6),('설정'!$C$33*IF($A86&gt;=31,1+'설정'!$C$14*'설정'!$E$33,1)/$D86)^(-'설정'!$C$7))&gt;('설정'!$C$4+'설정'!$F$33),"실패",ROUND($E86*'설정'!$C$5*IF(('설정'!$C$33*IF($A86&gt;=31,1+'설정'!$C$14*'설정'!$E$33,1)/$D86)&lt;1,('설정'!$C$33*IF($A86&gt;=31,1+'설정'!$C$14*'설정'!$E$33,1)/$D86)^(-'설정'!$C$6),('설정'!$C$33*IF($A86&gt;=31,1+'설정'!$C$14*'설정'!$E$33,1)/$D86)^(-'설정'!$C$7)),0))</f>
        <v/>
      </c>
      <c r="T86" s="8">
        <f>IF($E86*'설정'!$C$5*IF(('설정'!$C$34*IF($A86&gt;=31,1+'설정'!$C$14*'설정'!$E$34,1)/$D86)&lt;1,('설정'!$C$34*IF($A86&gt;=31,1+'설정'!$C$14*'설정'!$E$34,1)/$D86)^(-'설정'!$C$6),('설정'!$C$34*IF($A86&gt;=31,1+'설정'!$C$14*'설정'!$E$34,1)/$D86)^(-'설정'!$C$7))&gt;('설정'!$C$4+'설정'!$F$34),"실패",ROUND($E86*'설정'!$C$5*IF(('설정'!$C$34*IF($A86&gt;=31,1+'설정'!$C$14*'설정'!$E$34,1)/$D86)&lt;1,('설정'!$C$34*IF($A86&gt;=31,1+'설정'!$C$14*'설정'!$E$34,1)/$D86)^(-'설정'!$C$6),('설정'!$C$34*IF($A86&gt;=31,1+'설정'!$C$14*'설정'!$E$34,1)/$D86)^(-'설정'!$C$7)),0))</f>
        <v/>
      </c>
      <c r="U86" s="8">
        <f>IF($E86*'설정'!$C$5*IF(('설정'!$C$35*IF($A86&gt;=31,1+'설정'!$C$14*'설정'!$E$35,1)/$D86)&lt;1,('설정'!$C$35*IF($A86&gt;=31,1+'설정'!$C$14*'설정'!$E$35,1)/$D86)^(-'설정'!$C$6),('설정'!$C$35*IF($A86&gt;=31,1+'설정'!$C$14*'설정'!$E$35,1)/$D86)^(-'설정'!$C$7))&gt;('설정'!$C$4+'설정'!$F$35),"실패",ROUND($E86*'설정'!$C$5*IF(('설정'!$C$35*IF($A86&gt;=31,1+'설정'!$C$14*'설정'!$E$35,1)/$D86)&lt;1,('설정'!$C$35*IF($A86&gt;=31,1+'설정'!$C$14*'설정'!$E$35,1)/$D86)^(-'설정'!$C$6),('설정'!$C$35*IF($A86&gt;=31,1+'설정'!$C$14*'설정'!$E$35,1)/$D86)^(-'설정'!$C$7)),0))</f>
        <v/>
      </c>
      <c r="V86" s="8">
        <f>IF($E86*'설정'!$C$5*IF(('설정'!$C$36*IF($A86&gt;=31,1+'설정'!$C$14*'설정'!$E$36,1)/$D86)&lt;1,('설정'!$C$36*IF($A86&gt;=31,1+'설정'!$C$14*'설정'!$E$36,1)/$D86)^(-'설정'!$C$6),('설정'!$C$36*IF($A86&gt;=31,1+'설정'!$C$14*'설정'!$E$36,1)/$D86)^(-'설정'!$C$7))&gt;('설정'!$C$4+'설정'!$F$36),"실패",ROUND($E86*'설정'!$C$5*IF(('설정'!$C$36*IF($A86&gt;=31,1+'설정'!$C$14*'설정'!$E$36,1)/$D86)&lt;1,('설정'!$C$36*IF($A86&gt;=31,1+'설정'!$C$14*'설정'!$E$36,1)/$D86)^(-'설정'!$C$6),('설정'!$C$36*IF($A86&gt;=31,1+'설정'!$C$14*'설정'!$E$36,1)/$D86)^(-'설정'!$C$7)),0))</f>
        <v/>
      </c>
      <c r="W86" s="8">
        <f>IF($E86*'설정'!$C$5*IF(('설정'!$C$37*IF($A86&gt;=31,1+'설정'!$C$14*'설정'!$E$37,1)/$D86)&lt;1,('설정'!$C$37*IF($A86&gt;=31,1+'설정'!$C$14*'설정'!$E$37,1)/$D86)^(-'설정'!$C$6),('설정'!$C$37*IF($A86&gt;=31,1+'설정'!$C$14*'설정'!$E$37,1)/$D86)^(-'설정'!$C$7))&gt;('설정'!$C$4+'설정'!$F$37),"실패",ROUND($E86*'설정'!$C$5*IF(('설정'!$C$37*IF($A86&gt;=31,1+'설정'!$C$14*'설정'!$E$37,1)/$D86)&lt;1,('설정'!$C$37*IF($A86&gt;=31,1+'설정'!$C$14*'설정'!$E$37,1)/$D86)^(-'설정'!$C$6),('설정'!$C$37*IF($A86&gt;=31,1+'설정'!$C$14*'설정'!$E$37,1)/$D86)^(-'설정'!$C$7)),0))</f>
        <v/>
      </c>
    </row>
    <row r="87">
      <c r="A87" t="n">
        <v>85</v>
      </c>
      <c r="B87" t="inlineStr">
        <is>
          <t>어려움</t>
        </is>
      </c>
      <c r="C87" t="inlineStr">
        <is>
          <t>보스</t>
        </is>
      </c>
      <c r="D87" s="6" t="n">
        <v>28600000</v>
      </c>
      <c r="E87" t="n">
        <v>90</v>
      </c>
      <c r="F87" s="6" t="n">
        <v>572000</v>
      </c>
      <c r="G87" t="n">
        <v>81</v>
      </c>
      <c r="H87" s="8">
        <f>IF($E87*'설정'!$C$5*IF(('설정'!$C$22*IF($A87&gt;=31,1+'설정'!$C$14*'설정'!$E$22,1)/$D87)&lt;1,('설정'!$C$22*IF($A87&gt;=31,1+'설정'!$C$14*'설정'!$E$22,1)/$D87)^(-'설정'!$C$6),('설정'!$C$22*IF($A87&gt;=31,1+'설정'!$C$14*'설정'!$E$22,1)/$D87)^(-'설정'!$C$7))&gt;('설정'!$C$4+'설정'!$F$22+'설정'!$G$22),"실패",ROUND($E87*'설정'!$C$5*IF(('설정'!$C$22*IF($A87&gt;=31,1+'설정'!$C$14*'설정'!$E$22,1)/$D87)&lt;1,('설정'!$C$22*IF($A87&gt;=31,1+'설정'!$C$14*'설정'!$E$22,1)/$D87)^(-'설정'!$C$6),('설정'!$C$22*IF($A87&gt;=31,1+'설정'!$C$14*'설정'!$E$22,1)/$D87)^(-'설정'!$C$7)),0))</f>
        <v/>
      </c>
      <c r="I87" s="8">
        <f>IF($E87*'설정'!$C$5*IF(('설정'!$C$23*IF($A87&gt;=31,1+'설정'!$C$14*'설정'!$E$23,1)/$D87)&lt;1,('설정'!$C$23*IF($A87&gt;=31,1+'설정'!$C$14*'설정'!$E$23,1)/$D87)^(-'설정'!$C$6),('설정'!$C$23*IF($A87&gt;=31,1+'설정'!$C$14*'설정'!$E$23,1)/$D87)^(-'설정'!$C$7))&gt;('설정'!$C$4+'설정'!$F$23+'설정'!$G$23),"실패",ROUND($E87*'설정'!$C$5*IF(('설정'!$C$23*IF($A87&gt;=31,1+'설정'!$C$14*'설정'!$E$23,1)/$D87)&lt;1,('설정'!$C$23*IF($A87&gt;=31,1+'설정'!$C$14*'설정'!$E$23,1)/$D87)^(-'설정'!$C$6),('설정'!$C$23*IF($A87&gt;=31,1+'설정'!$C$14*'설정'!$E$23,1)/$D87)^(-'설정'!$C$7)),0))</f>
        <v/>
      </c>
      <c r="J87" s="8">
        <f>IF($E87*'설정'!$C$5*IF(('설정'!$C$24*IF($A87&gt;=31,1+'설정'!$C$14*'설정'!$E$24,1)/$D87)&lt;1,('설정'!$C$24*IF($A87&gt;=31,1+'설정'!$C$14*'설정'!$E$24,1)/$D87)^(-'설정'!$C$6),('설정'!$C$24*IF($A87&gt;=31,1+'설정'!$C$14*'설정'!$E$24,1)/$D87)^(-'설정'!$C$7))&gt;('설정'!$C$4+'설정'!$F$24+'설정'!$G$24),"실패",ROUND($E87*'설정'!$C$5*IF(('설정'!$C$24*IF($A87&gt;=31,1+'설정'!$C$14*'설정'!$E$24,1)/$D87)&lt;1,('설정'!$C$24*IF($A87&gt;=31,1+'설정'!$C$14*'설정'!$E$24,1)/$D87)^(-'설정'!$C$6),('설정'!$C$24*IF($A87&gt;=31,1+'설정'!$C$14*'설정'!$E$24,1)/$D87)^(-'설정'!$C$7)),0))</f>
        <v/>
      </c>
      <c r="K87" s="8">
        <f>IF($E87*'설정'!$C$5*IF(('설정'!$C$25*IF($A87&gt;=31,1+'설정'!$C$14*'설정'!$E$25,1)/$D87)&lt;1,('설정'!$C$25*IF($A87&gt;=31,1+'설정'!$C$14*'설정'!$E$25,1)/$D87)^(-'설정'!$C$6),('설정'!$C$25*IF($A87&gt;=31,1+'설정'!$C$14*'설정'!$E$25,1)/$D87)^(-'설정'!$C$7))&gt;('설정'!$C$4+'설정'!$F$25+'설정'!$G$25),"실패",ROUND($E87*'설정'!$C$5*IF(('설정'!$C$25*IF($A87&gt;=31,1+'설정'!$C$14*'설정'!$E$25,1)/$D87)&lt;1,('설정'!$C$25*IF($A87&gt;=31,1+'설정'!$C$14*'설정'!$E$25,1)/$D87)^(-'설정'!$C$6),('설정'!$C$25*IF($A87&gt;=31,1+'설정'!$C$14*'설정'!$E$25,1)/$D87)^(-'설정'!$C$7)),0))</f>
        <v/>
      </c>
      <c r="L87" s="8">
        <f>IF($E87*'설정'!$C$5*IF(('설정'!$C$26*IF($A87&gt;=31,1+'설정'!$C$14*'설정'!$E$26,1)/$D87)&lt;1,('설정'!$C$26*IF($A87&gt;=31,1+'설정'!$C$14*'설정'!$E$26,1)/$D87)^(-'설정'!$C$6),('설정'!$C$26*IF($A87&gt;=31,1+'설정'!$C$14*'설정'!$E$26,1)/$D87)^(-'설정'!$C$7))&gt;('설정'!$C$4+'설정'!$F$26+'설정'!$G$26),"실패",ROUND($E87*'설정'!$C$5*IF(('설정'!$C$26*IF($A87&gt;=31,1+'설정'!$C$14*'설정'!$E$26,1)/$D87)&lt;1,('설정'!$C$26*IF($A87&gt;=31,1+'설정'!$C$14*'설정'!$E$26,1)/$D87)^(-'설정'!$C$6),('설정'!$C$26*IF($A87&gt;=31,1+'설정'!$C$14*'설정'!$E$26,1)/$D87)^(-'설정'!$C$7)),0))</f>
        <v/>
      </c>
      <c r="M87" s="8">
        <f>IF($E87*'설정'!$C$5*IF(('설정'!$C$27*IF($A87&gt;=31,1+'설정'!$C$14*'설정'!$E$27,1)/$D87)&lt;1,('설정'!$C$27*IF($A87&gt;=31,1+'설정'!$C$14*'설정'!$E$27,1)/$D87)^(-'설정'!$C$6),('설정'!$C$27*IF($A87&gt;=31,1+'설정'!$C$14*'설정'!$E$27,1)/$D87)^(-'설정'!$C$7))&gt;('설정'!$C$4+'설정'!$F$27+'설정'!$G$27),"실패",ROUND($E87*'설정'!$C$5*IF(('설정'!$C$27*IF($A87&gt;=31,1+'설정'!$C$14*'설정'!$E$27,1)/$D87)&lt;1,('설정'!$C$27*IF($A87&gt;=31,1+'설정'!$C$14*'설정'!$E$27,1)/$D87)^(-'설정'!$C$6),('설정'!$C$27*IF($A87&gt;=31,1+'설정'!$C$14*'설정'!$E$27,1)/$D87)^(-'설정'!$C$7)),0))</f>
        <v/>
      </c>
      <c r="N87" s="8">
        <f>IF($E87*'설정'!$C$5*IF(('설정'!$C$28*IF($A87&gt;=31,1+'설정'!$C$14*'설정'!$E$28,1)/$D87)&lt;1,('설정'!$C$28*IF($A87&gt;=31,1+'설정'!$C$14*'설정'!$E$28,1)/$D87)^(-'설정'!$C$6),('설정'!$C$28*IF($A87&gt;=31,1+'설정'!$C$14*'설정'!$E$28,1)/$D87)^(-'설정'!$C$7))&gt;('설정'!$C$4+'설정'!$F$28+'설정'!$G$28),"실패",ROUND($E87*'설정'!$C$5*IF(('설정'!$C$28*IF($A87&gt;=31,1+'설정'!$C$14*'설정'!$E$28,1)/$D87)&lt;1,('설정'!$C$28*IF($A87&gt;=31,1+'설정'!$C$14*'설정'!$E$28,1)/$D87)^(-'설정'!$C$6),('설정'!$C$28*IF($A87&gt;=31,1+'설정'!$C$14*'설정'!$E$28,1)/$D87)^(-'설정'!$C$7)),0))</f>
        <v/>
      </c>
      <c r="O87" s="8">
        <f>IF($E87*'설정'!$C$5*IF(('설정'!$C$29*IF($A87&gt;=31,1+'설정'!$C$14*'설정'!$E$29,1)/$D87)&lt;1,('설정'!$C$29*IF($A87&gt;=31,1+'설정'!$C$14*'설정'!$E$29,1)/$D87)^(-'설정'!$C$6),('설정'!$C$29*IF($A87&gt;=31,1+'설정'!$C$14*'설정'!$E$29,1)/$D87)^(-'설정'!$C$7))&gt;('설정'!$C$4+'설정'!$F$29+'설정'!$G$29),"실패",ROUND($E87*'설정'!$C$5*IF(('설정'!$C$29*IF($A87&gt;=31,1+'설정'!$C$14*'설정'!$E$29,1)/$D87)&lt;1,('설정'!$C$29*IF($A87&gt;=31,1+'설정'!$C$14*'설정'!$E$29,1)/$D87)^(-'설정'!$C$6),('설정'!$C$29*IF($A87&gt;=31,1+'설정'!$C$14*'설정'!$E$29,1)/$D87)^(-'설정'!$C$7)),0))</f>
        <v/>
      </c>
      <c r="P87" s="8">
        <f>IF($E87*'설정'!$C$5*IF(('설정'!$C$30*IF($A87&gt;=31,1+'설정'!$C$14*'설정'!$E$30,1)/$D87)&lt;1,('설정'!$C$30*IF($A87&gt;=31,1+'설정'!$C$14*'설정'!$E$30,1)/$D87)^(-'설정'!$C$6),('설정'!$C$30*IF($A87&gt;=31,1+'설정'!$C$14*'설정'!$E$30,1)/$D87)^(-'설정'!$C$7))&gt;('설정'!$C$4+'설정'!$F$30+'설정'!$G$30),"실패",ROUND($E87*'설정'!$C$5*IF(('설정'!$C$30*IF($A87&gt;=31,1+'설정'!$C$14*'설정'!$E$30,1)/$D87)&lt;1,('설정'!$C$30*IF($A87&gt;=31,1+'설정'!$C$14*'설정'!$E$30,1)/$D87)^(-'설정'!$C$6),('설정'!$C$30*IF($A87&gt;=31,1+'설정'!$C$14*'설정'!$E$30,1)/$D87)^(-'설정'!$C$7)),0))</f>
        <v/>
      </c>
      <c r="Q87" s="8">
        <f>IF($E87*'설정'!$C$5*IF(('설정'!$C$31*IF($A87&gt;=31,1+'설정'!$C$14*'설정'!$E$31,1)/$D87)&lt;1,('설정'!$C$31*IF($A87&gt;=31,1+'설정'!$C$14*'설정'!$E$31,1)/$D87)^(-'설정'!$C$6),('설정'!$C$31*IF($A87&gt;=31,1+'설정'!$C$14*'설정'!$E$31,1)/$D87)^(-'설정'!$C$7))&gt;('설정'!$C$4+'설정'!$F$31+'설정'!$G$31),"실패",ROUND($E87*'설정'!$C$5*IF(('설정'!$C$31*IF($A87&gt;=31,1+'설정'!$C$14*'설정'!$E$31,1)/$D87)&lt;1,('설정'!$C$31*IF($A87&gt;=31,1+'설정'!$C$14*'설정'!$E$31,1)/$D87)^(-'설정'!$C$6),('설정'!$C$31*IF($A87&gt;=31,1+'설정'!$C$14*'설정'!$E$31,1)/$D87)^(-'설정'!$C$7)),0))</f>
        <v/>
      </c>
      <c r="R87" s="8">
        <f>IF($E87*'설정'!$C$5*IF(('설정'!$C$32*IF($A87&gt;=31,1+'설정'!$C$14*'설정'!$E$32,1)/$D87)&lt;1,('설정'!$C$32*IF($A87&gt;=31,1+'설정'!$C$14*'설정'!$E$32,1)/$D87)^(-'설정'!$C$6),('설정'!$C$32*IF($A87&gt;=31,1+'설정'!$C$14*'설정'!$E$32,1)/$D87)^(-'설정'!$C$7))&gt;('설정'!$C$4+'설정'!$F$32+'설정'!$G$32),"실패",ROUND($E87*'설정'!$C$5*IF(('설정'!$C$32*IF($A87&gt;=31,1+'설정'!$C$14*'설정'!$E$32,1)/$D87)&lt;1,('설정'!$C$32*IF($A87&gt;=31,1+'설정'!$C$14*'설정'!$E$32,1)/$D87)^(-'설정'!$C$6),('설정'!$C$32*IF($A87&gt;=31,1+'설정'!$C$14*'설정'!$E$32,1)/$D87)^(-'설정'!$C$7)),0))</f>
        <v/>
      </c>
      <c r="S87" s="8">
        <f>IF($E87*'설정'!$C$5*IF(('설정'!$C$33*IF($A87&gt;=31,1+'설정'!$C$14*'설정'!$E$33,1)/$D87)&lt;1,('설정'!$C$33*IF($A87&gt;=31,1+'설정'!$C$14*'설정'!$E$33,1)/$D87)^(-'설정'!$C$6),('설정'!$C$33*IF($A87&gt;=31,1+'설정'!$C$14*'설정'!$E$33,1)/$D87)^(-'설정'!$C$7))&gt;('설정'!$C$4+'설정'!$F$33+'설정'!$G$33),"실패",ROUND($E87*'설정'!$C$5*IF(('설정'!$C$33*IF($A87&gt;=31,1+'설정'!$C$14*'설정'!$E$33,1)/$D87)&lt;1,('설정'!$C$33*IF($A87&gt;=31,1+'설정'!$C$14*'설정'!$E$33,1)/$D87)^(-'설정'!$C$6),('설정'!$C$33*IF($A87&gt;=31,1+'설정'!$C$14*'설정'!$E$33,1)/$D87)^(-'설정'!$C$7)),0))</f>
        <v/>
      </c>
      <c r="T87" s="8">
        <f>IF($E87*'설정'!$C$5*IF(('설정'!$C$34*IF($A87&gt;=31,1+'설정'!$C$14*'설정'!$E$34,1)/$D87)&lt;1,('설정'!$C$34*IF($A87&gt;=31,1+'설정'!$C$14*'설정'!$E$34,1)/$D87)^(-'설정'!$C$6),('설정'!$C$34*IF($A87&gt;=31,1+'설정'!$C$14*'설정'!$E$34,1)/$D87)^(-'설정'!$C$7))&gt;('설정'!$C$4+'설정'!$F$34+'설정'!$G$34),"실패",ROUND($E87*'설정'!$C$5*IF(('설정'!$C$34*IF($A87&gt;=31,1+'설정'!$C$14*'설정'!$E$34,1)/$D87)&lt;1,('설정'!$C$34*IF($A87&gt;=31,1+'설정'!$C$14*'설정'!$E$34,1)/$D87)^(-'설정'!$C$6),('설정'!$C$34*IF($A87&gt;=31,1+'설정'!$C$14*'설정'!$E$34,1)/$D87)^(-'설정'!$C$7)),0))</f>
        <v/>
      </c>
      <c r="U87" s="8">
        <f>IF($E87*'설정'!$C$5*IF(('설정'!$C$35*IF($A87&gt;=31,1+'설정'!$C$14*'설정'!$E$35,1)/$D87)&lt;1,('설정'!$C$35*IF($A87&gt;=31,1+'설정'!$C$14*'설정'!$E$35,1)/$D87)^(-'설정'!$C$6),('설정'!$C$35*IF($A87&gt;=31,1+'설정'!$C$14*'설정'!$E$35,1)/$D87)^(-'설정'!$C$7))&gt;('설정'!$C$4+'설정'!$F$35+'설정'!$G$35),"실패",ROUND($E87*'설정'!$C$5*IF(('설정'!$C$35*IF($A87&gt;=31,1+'설정'!$C$14*'설정'!$E$35,1)/$D87)&lt;1,('설정'!$C$35*IF($A87&gt;=31,1+'설정'!$C$14*'설정'!$E$35,1)/$D87)^(-'설정'!$C$6),('설정'!$C$35*IF($A87&gt;=31,1+'설정'!$C$14*'설정'!$E$35,1)/$D87)^(-'설정'!$C$7)),0))</f>
        <v/>
      </c>
      <c r="V87" s="8">
        <f>IF($E87*'설정'!$C$5*IF(('설정'!$C$36*IF($A87&gt;=31,1+'설정'!$C$14*'설정'!$E$36,1)/$D87)&lt;1,('설정'!$C$36*IF($A87&gt;=31,1+'설정'!$C$14*'설정'!$E$36,1)/$D87)^(-'설정'!$C$6),('설정'!$C$36*IF($A87&gt;=31,1+'설정'!$C$14*'설정'!$E$36,1)/$D87)^(-'설정'!$C$7))&gt;('설정'!$C$4+'설정'!$F$36+'설정'!$G$36),"실패",ROUND($E87*'설정'!$C$5*IF(('설정'!$C$36*IF($A87&gt;=31,1+'설정'!$C$14*'설정'!$E$36,1)/$D87)&lt;1,('설정'!$C$36*IF($A87&gt;=31,1+'설정'!$C$14*'설정'!$E$36,1)/$D87)^(-'설정'!$C$6),('설정'!$C$36*IF($A87&gt;=31,1+'설정'!$C$14*'설정'!$E$36,1)/$D87)^(-'설정'!$C$7)),0))</f>
        <v/>
      </c>
      <c r="W87" s="8">
        <f>IF($E87*'설정'!$C$5*IF(('설정'!$C$37*IF($A87&gt;=31,1+'설정'!$C$14*'설정'!$E$37,1)/$D87)&lt;1,('설정'!$C$37*IF($A87&gt;=31,1+'설정'!$C$14*'설정'!$E$37,1)/$D87)^(-'설정'!$C$6),('설정'!$C$37*IF($A87&gt;=31,1+'설정'!$C$14*'설정'!$E$37,1)/$D87)^(-'설정'!$C$7))&gt;('설정'!$C$4+'설정'!$F$37+'설정'!$G$37),"실패",ROUND($E87*'설정'!$C$5*IF(('설정'!$C$37*IF($A87&gt;=31,1+'설정'!$C$14*'설정'!$E$37,1)/$D87)&lt;1,('설정'!$C$37*IF($A87&gt;=31,1+'설정'!$C$14*'설정'!$E$37,1)/$D87)^(-'설정'!$C$6),('설정'!$C$37*IF($A87&gt;=31,1+'설정'!$C$14*'설정'!$E$37,1)/$D87)^(-'설정'!$C$7)),0))</f>
        <v/>
      </c>
    </row>
    <row r="88">
      <c r="A88" t="n">
        <v>86</v>
      </c>
      <c r="B88" t="inlineStr">
        <is>
          <t>보통</t>
        </is>
      </c>
      <c r="C88" t="inlineStr"/>
      <c r="D88" s="6" t="n">
        <v>25900000</v>
      </c>
      <c r="E88" t="n">
        <v>72</v>
      </c>
      <c r="F88" s="6" t="n">
        <v>518000</v>
      </c>
      <c r="G88" t="n">
        <v>82</v>
      </c>
      <c r="H88" s="8">
        <f>IF($E88*'설정'!$C$5*IF(('설정'!$C$22*IF($A88&gt;=31,1+'설정'!$C$14*'설정'!$E$22,1)/$D88)&lt;1,('설정'!$C$22*IF($A88&gt;=31,1+'설정'!$C$14*'설정'!$E$22,1)/$D88)^(-'설정'!$C$6),('설정'!$C$22*IF($A88&gt;=31,1+'설정'!$C$14*'설정'!$E$22,1)/$D88)^(-'설정'!$C$7))&gt;('설정'!$C$4+'설정'!$F$22),"실패",ROUND($E88*'설정'!$C$5*IF(('설정'!$C$22*IF($A88&gt;=31,1+'설정'!$C$14*'설정'!$E$22,1)/$D88)&lt;1,('설정'!$C$22*IF($A88&gt;=31,1+'설정'!$C$14*'설정'!$E$22,1)/$D88)^(-'설정'!$C$6),('설정'!$C$22*IF($A88&gt;=31,1+'설정'!$C$14*'설정'!$E$22,1)/$D88)^(-'설정'!$C$7)),0))</f>
        <v/>
      </c>
      <c r="I88" s="8">
        <f>IF($E88*'설정'!$C$5*IF(('설정'!$C$23*IF($A88&gt;=31,1+'설정'!$C$14*'설정'!$E$23,1)/$D88)&lt;1,('설정'!$C$23*IF($A88&gt;=31,1+'설정'!$C$14*'설정'!$E$23,1)/$D88)^(-'설정'!$C$6),('설정'!$C$23*IF($A88&gt;=31,1+'설정'!$C$14*'설정'!$E$23,1)/$D88)^(-'설정'!$C$7))&gt;('설정'!$C$4+'설정'!$F$23),"실패",ROUND($E88*'설정'!$C$5*IF(('설정'!$C$23*IF($A88&gt;=31,1+'설정'!$C$14*'설정'!$E$23,1)/$D88)&lt;1,('설정'!$C$23*IF($A88&gt;=31,1+'설정'!$C$14*'설정'!$E$23,1)/$D88)^(-'설정'!$C$6),('설정'!$C$23*IF($A88&gt;=31,1+'설정'!$C$14*'설정'!$E$23,1)/$D88)^(-'설정'!$C$7)),0))</f>
        <v/>
      </c>
      <c r="J88" s="8">
        <f>IF($E88*'설정'!$C$5*IF(('설정'!$C$24*IF($A88&gt;=31,1+'설정'!$C$14*'설정'!$E$24,1)/$D88)&lt;1,('설정'!$C$24*IF($A88&gt;=31,1+'설정'!$C$14*'설정'!$E$24,1)/$D88)^(-'설정'!$C$6),('설정'!$C$24*IF($A88&gt;=31,1+'설정'!$C$14*'설정'!$E$24,1)/$D88)^(-'설정'!$C$7))&gt;('설정'!$C$4+'설정'!$F$24),"실패",ROUND($E88*'설정'!$C$5*IF(('설정'!$C$24*IF($A88&gt;=31,1+'설정'!$C$14*'설정'!$E$24,1)/$D88)&lt;1,('설정'!$C$24*IF($A88&gt;=31,1+'설정'!$C$14*'설정'!$E$24,1)/$D88)^(-'설정'!$C$6),('설정'!$C$24*IF($A88&gt;=31,1+'설정'!$C$14*'설정'!$E$24,1)/$D88)^(-'설정'!$C$7)),0))</f>
        <v/>
      </c>
      <c r="K88" s="8">
        <f>IF($E88*'설정'!$C$5*IF(('설정'!$C$25*IF($A88&gt;=31,1+'설정'!$C$14*'설정'!$E$25,1)/$D88)&lt;1,('설정'!$C$25*IF($A88&gt;=31,1+'설정'!$C$14*'설정'!$E$25,1)/$D88)^(-'설정'!$C$6),('설정'!$C$25*IF($A88&gt;=31,1+'설정'!$C$14*'설정'!$E$25,1)/$D88)^(-'설정'!$C$7))&gt;('설정'!$C$4+'설정'!$F$25),"실패",ROUND($E88*'설정'!$C$5*IF(('설정'!$C$25*IF($A88&gt;=31,1+'설정'!$C$14*'설정'!$E$25,1)/$D88)&lt;1,('설정'!$C$25*IF($A88&gt;=31,1+'설정'!$C$14*'설정'!$E$25,1)/$D88)^(-'설정'!$C$6),('설정'!$C$25*IF($A88&gt;=31,1+'설정'!$C$14*'설정'!$E$25,1)/$D88)^(-'설정'!$C$7)),0))</f>
        <v/>
      </c>
      <c r="L88" s="8">
        <f>IF($E88*'설정'!$C$5*IF(('설정'!$C$26*IF($A88&gt;=31,1+'설정'!$C$14*'설정'!$E$26,1)/$D88)&lt;1,('설정'!$C$26*IF($A88&gt;=31,1+'설정'!$C$14*'설정'!$E$26,1)/$D88)^(-'설정'!$C$6),('설정'!$C$26*IF($A88&gt;=31,1+'설정'!$C$14*'설정'!$E$26,1)/$D88)^(-'설정'!$C$7))&gt;('설정'!$C$4+'설정'!$F$26),"실패",ROUND($E88*'설정'!$C$5*IF(('설정'!$C$26*IF($A88&gt;=31,1+'설정'!$C$14*'설정'!$E$26,1)/$D88)&lt;1,('설정'!$C$26*IF($A88&gt;=31,1+'설정'!$C$14*'설정'!$E$26,1)/$D88)^(-'설정'!$C$6),('설정'!$C$26*IF($A88&gt;=31,1+'설정'!$C$14*'설정'!$E$26,1)/$D88)^(-'설정'!$C$7)),0))</f>
        <v/>
      </c>
      <c r="M88" s="8">
        <f>IF($E88*'설정'!$C$5*IF(('설정'!$C$27*IF($A88&gt;=31,1+'설정'!$C$14*'설정'!$E$27,1)/$D88)&lt;1,('설정'!$C$27*IF($A88&gt;=31,1+'설정'!$C$14*'설정'!$E$27,1)/$D88)^(-'설정'!$C$6),('설정'!$C$27*IF($A88&gt;=31,1+'설정'!$C$14*'설정'!$E$27,1)/$D88)^(-'설정'!$C$7))&gt;('설정'!$C$4+'설정'!$F$27),"실패",ROUND($E88*'설정'!$C$5*IF(('설정'!$C$27*IF($A88&gt;=31,1+'설정'!$C$14*'설정'!$E$27,1)/$D88)&lt;1,('설정'!$C$27*IF($A88&gt;=31,1+'설정'!$C$14*'설정'!$E$27,1)/$D88)^(-'설정'!$C$6),('설정'!$C$27*IF($A88&gt;=31,1+'설정'!$C$14*'설정'!$E$27,1)/$D88)^(-'설정'!$C$7)),0))</f>
        <v/>
      </c>
      <c r="N88" s="8">
        <f>IF($E88*'설정'!$C$5*IF(('설정'!$C$28*IF($A88&gt;=31,1+'설정'!$C$14*'설정'!$E$28,1)/$D88)&lt;1,('설정'!$C$28*IF($A88&gt;=31,1+'설정'!$C$14*'설정'!$E$28,1)/$D88)^(-'설정'!$C$6),('설정'!$C$28*IF($A88&gt;=31,1+'설정'!$C$14*'설정'!$E$28,1)/$D88)^(-'설정'!$C$7))&gt;('설정'!$C$4+'설정'!$F$28),"실패",ROUND($E88*'설정'!$C$5*IF(('설정'!$C$28*IF($A88&gt;=31,1+'설정'!$C$14*'설정'!$E$28,1)/$D88)&lt;1,('설정'!$C$28*IF($A88&gt;=31,1+'설정'!$C$14*'설정'!$E$28,1)/$D88)^(-'설정'!$C$6),('설정'!$C$28*IF($A88&gt;=31,1+'설정'!$C$14*'설정'!$E$28,1)/$D88)^(-'설정'!$C$7)),0))</f>
        <v/>
      </c>
      <c r="O88" s="8">
        <f>IF($E88*'설정'!$C$5*IF(('설정'!$C$29*IF($A88&gt;=31,1+'설정'!$C$14*'설정'!$E$29,1)/$D88)&lt;1,('설정'!$C$29*IF($A88&gt;=31,1+'설정'!$C$14*'설정'!$E$29,1)/$D88)^(-'설정'!$C$6),('설정'!$C$29*IF($A88&gt;=31,1+'설정'!$C$14*'설정'!$E$29,1)/$D88)^(-'설정'!$C$7))&gt;('설정'!$C$4+'설정'!$F$29),"실패",ROUND($E88*'설정'!$C$5*IF(('설정'!$C$29*IF($A88&gt;=31,1+'설정'!$C$14*'설정'!$E$29,1)/$D88)&lt;1,('설정'!$C$29*IF($A88&gt;=31,1+'설정'!$C$14*'설정'!$E$29,1)/$D88)^(-'설정'!$C$6),('설정'!$C$29*IF($A88&gt;=31,1+'설정'!$C$14*'설정'!$E$29,1)/$D88)^(-'설정'!$C$7)),0))</f>
        <v/>
      </c>
      <c r="P88" s="8">
        <f>IF($E88*'설정'!$C$5*IF(('설정'!$C$30*IF($A88&gt;=31,1+'설정'!$C$14*'설정'!$E$30,1)/$D88)&lt;1,('설정'!$C$30*IF($A88&gt;=31,1+'설정'!$C$14*'설정'!$E$30,1)/$D88)^(-'설정'!$C$6),('설정'!$C$30*IF($A88&gt;=31,1+'설정'!$C$14*'설정'!$E$30,1)/$D88)^(-'설정'!$C$7))&gt;('설정'!$C$4+'설정'!$F$30),"실패",ROUND($E88*'설정'!$C$5*IF(('설정'!$C$30*IF($A88&gt;=31,1+'설정'!$C$14*'설정'!$E$30,1)/$D88)&lt;1,('설정'!$C$30*IF($A88&gt;=31,1+'설정'!$C$14*'설정'!$E$30,1)/$D88)^(-'설정'!$C$6),('설정'!$C$30*IF($A88&gt;=31,1+'설정'!$C$14*'설정'!$E$30,1)/$D88)^(-'설정'!$C$7)),0))</f>
        <v/>
      </c>
      <c r="Q88" s="8">
        <f>IF($E88*'설정'!$C$5*IF(('설정'!$C$31*IF($A88&gt;=31,1+'설정'!$C$14*'설정'!$E$31,1)/$D88)&lt;1,('설정'!$C$31*IF($A88&gt;=31,1+'설정'!$C$14*'설정'!$E$31,1)/$D88)^(-'설정'!$C$6),('설정'!$C$31*IF($A88&gt;=31,1+'설정'!$C$14*'설정'!$E$31,1)/$D88)^(-'설정'!$C$7))&gt;('설정'!$C$4+'설정'!$F$31),"실패",ROUND($E88*'설정'!$C$5*IF(('설정'!$C$31*IF($A88&gt;=31,1+'설정'!$C$14*'설정'!$E$31,1)/$D88)&lt;1,('설정'!$C$31*IF($A88&gt;=31,1+'설정'!$C$14*'설정'!$E$31,1)/$D88)^(-'설정'!$C$6),('설정'!$C$31*IF($A88&gt;=31,1+'설정'!$C$14*'설정'!$E$31,1)/$D88)^(-'설정'!$C$7)),0))</f>
        <v/>
      </c>
      <c r="R88" s="8">
        <f>IF($E88*'설정'!$C$5*IF(('설정'!$C$32*IF($A88&gt;=31,1+'설정'!$C$14*'설정'!$E$32,1)/$D88)&lt;1,('설정'!$C$32*IF($A88&gt;=31,1+'설정'!$C$14*'설정'!$E$32,1)/$D88)^(-'설정'!$C$6),('설정'!$C$32*IF($A88&gt;=31,1+'설정'!$C$14*'설정'!$E$32,1)/$D88)^(-'설정'!$C$7))&gt;('설정'!$C$4+'설정'!$F$32),"실패",ROUND($E88*'설정'!$C$5*IF(('설정'!$C$32*IF($A88&gt;=31,1+'설정'!$C$14*'설정'!$E$32,1)/$D88)&lt;1,('설정'!$C$32*IF($A88&gt;=31,1+'설정'!$C$14*'설정'!$E$32,1)/$D88)^(-'설정'!$C$6),('설정'!$C$32*IF($A88&gt;=31,1+'설정'!$C$14*'설정'!$E$32,1)/$D88)^(-'설정'!$C$7)),0))</f>
        <v/>
      </c>
      <c r="S88" s="8">
        <f>IF($E88*'설정'!$C$5*IF(('설정'!$C$33*IF($A88&gt;=31,1+'설정'!$C$14*'설정'!$E$33,1)/$D88)&lt;1,('설정'!$C$33*IF($A88&gt;=31,1+'설정'!$C$14*'설정'!$E$33,1)/$D88)^(-'설정'!$C$6),('설정'!$C$33*IF($A88&gt;=31,1+'설정'!$C$14*'설정'!$E$33,1)/$D88)^(-'설정'!$C$7))&gt;('설정'!$C$4+'설정'!$F$33),"실패",ROUND($E88*'설정'!$C$5*IF(('설정'!$C$33*IF($A88&gt;=31,1+'설정'!$C$14*'설정'!$E$33,1)/$D88)&lt;1,('설정'!$C$33*IF($A88&gt;=31,1+'설정'!$C$14*'설정'!$E$33,1)/$D88)^(-'설정'!$C$6),('설정'!$C$33*IF($A88&gt;=31,1+'설정'!$C$14*'설정'!$E$33,1)/$D88)^(-'설정'!$C$7)),0))</f>
        <v/>
      </c>
      <c r="T88" s="8">
        <f>IF($E88*'설정'!$C$5*IF(('설정'!$C$34*IF($A88&gt;=31,1+'설정'!$C$14*'설정'!$E$34,1)/$D88)&lt;1,('설정'!$C$34*IF($A88&gt;=31,1+'설정'!$C$14*'설정'!$E$34,1)/$D88)^(-'설정'!$C$6),('설정'!$C$34*IF($A88&gt;=31,1+'설정'!$C$14*'설정'!$E$34,1)/$D88)^(-'설정'!$C$7))&gt;('설정'!$C$4+'설정'!$F$34),"실패",ROUND($E88*'설정'!$C$5*IF(('설정'!$C$34*IF($A88&gt;=31,1+'설정'!$C$14*'설정'!$E$34,1)/$D88)&lt;1,('설정'!$C$34*IF($A88&gt;=31,1+'설정'!$C$14*'설정'!$E$34,1)/$D88)^(-'설정'!$C$6),('설정'!$C$34*IF($A88&gt;=31,1+'설정'!$C$14*'설정'!$E$34,1)/$D88)^(-'설정'!$C$7)),0))</f>
        <v/>
      </c>
      <c r="U88" s="8">
        <f>IF($E88*'설정'!$C$5*IF(('설정'!$C$35*IF($A88&gt;=31,1+'설정'!$C$14*'설정'!$E$35,1)/$D88)&lt;1,('설정'!$C$35*IF($A88&gt;=31,1+'설정'!$C$14*'설정'!$E$35,1)/$D88)^(-'설정'!$C$6),('설정'!$C$35*IF($A88&gt;=31,1+'설정'!$C$14*'설정'!$E$35,1)/$D88)^(-'설정'!$C$7))&gt;('설정'!$C$4+'설정'!$F$35),"실패",ROUND($E88*'설정'!$C$5*IF(('설정'!$C$35*IF($A88&gt;=31,1+'설정'!$C$14*'설정'!$E$35,1)/$D88)&lt;1,('설정'!$C$35*IF($A88&gt;=31,1+'설정'!$C$14*'설정'!$E$35,1)/$D88)^(-'설정'!$C$6),('설정'!$C$35*IF($A88&gt;=31,1+'설정'!$C$14*'설정'!$E$35,1)/$D88)^(-'설정'!$C$7)),0))</f>
        <v/>
      </c>
      <c r="V88" s="8">
        <f>IF($E88*'설정'!$C$5*IF(('설정'!$C$36*IF($A88&gt;=31,1+'설정'!$C$14*'설정'!$E$36,1)/$D88)&lt;1,('설정'!$C$36*IF($A88&gt;=31,1+'설정'!$C$14*'설정'!$E$36,1)/$D88)^(-'설정'!$C$6),('설정'!$C$36*IF($A88&gt;=31,1+'설정'!$C$14*'설정'!$E$36,1)/$D88)^(-'설정'!$C$7))&gt;('설정'!$C$4+'설정'!$F$36),"실패",ROUND($E88*'설정'!$C$5*IF(('설정'!$C$36*IF($A88&gt;=31,1+'설정'!$C$14*'설정'!$E$36,1)/$D88)&lt;1,('설정'!$C$36*IF($A88&gt;=31,1+'설정'!$C$14*'설정'!$E$36,1)/$D88)^(-'설정'!$C$6),('설정'!$C$36*IF($A88&gt;=31,1+'설정'!$C$14*'설정'!$E$36,1)/$D88)^(-'설정'!$C$7)),0))</f>
        <v/>
      </c>
      <c r="W88" s="8">
        <f>IF($E88*'설정'!$C$5*IF(('설정'!$C$37*IF($A88&gt;=31,1+'설정'!$C$14*'설정'!$E$37,1)/$D88)&lt;1,('설정'!$C$37*IF($A88&gt;=31,1+'설정'!$C$14*'설정'!$E$37,1)/$D88)^(-'설정'!$C$6),('설정'!$C$37*IF($A88&gt;=31,1+'설정'!$C$14*'설정'!$E$37,1)/$D88)^(-'설정'!$C$7))&gt;('설정'!$C$4+'설정'!$F$37),"실패",ROUND($E88*'설정'!$C$5*IF(('설정'!$C$37*IF($A88&gt;=31,1+'설정'!$C$14*'설정'!$E$37,1)/$D88)&lt;1,('설정'!$C$37*IF($A88&gt;=31,1+'설정'!$C$14*'설정'!$E$37,1)/$D88)^(-'설정'!$C$6),('설정'!$C$37*IF($A88&gt;=31,1+'설정'!$C$14*'설정'!$E$37,1)/$D88)^(-'설정'!$C$7)),0))</f>
        <v/>
      </c>
    </row>
    <row r="89">
      <c r="A89" t="n">
        <v>87</v>
      </c>
      <c r="B89" t="inlineStr">
        <is>
          <t>보통</t>
        </is>
      </c>
      <c r="C89" t="inlineStr"/>
      <c r="D89" s="6" t="n">
        <v>27000000</v>
      </c>
      <c r="E89" t="n">
        <v>72</v>
      </c>
      <c r="F89" s="6" t="n">
        <v>540000</v>
      </c>
      <c r="G89" t="n">
        <v>83</v>
      </c>
      <c r="H89" s="8">
        <f>IF($E89*'설정'!$C$5*IF(('설정'!$C$22*IF($A89&gt;=31,1+'설정'!$C$14*'설정'!$E$22,1)/$D89)&lt;1,('설정'!$C$22*IF($A89&gt;=31,1+'설정'!$C$14*'설정'!$E$22,1)/$D89)^(-'설정'!$C$6),('설정'!$C$22*IF($A89&gt;=31,1+'설정'!$C$14*'설정'!$E$22,1)/$D89)^(-'설정'!$C$7))&gt;('설정'!$C$4+'설정'!$F$22),"실패",ROUND($E89*'설정'!$C$5*IF(('설정'!$C$22*IF($A89&gt;=31,1+'설정'!$C$14*'설정'!$E$22,1)/$D89)&lt;1,('설정'!$C$22*IF($A89&gt;=31,1+'설정'!$C$14*'설정'!$E$22,1)/$D89)^(-'설정'!$C$6),('설정'!$C$22*IF($A89&gt;=31,1+'설정'!$C$14*'설정'!$E$22,1)/$D89)^(-'설정'!$C$7)),0))</f>
        <v/>
      </c>
      <c r="I89" s="8">
        <f>IF($E89*'설정'!$C$5*IF(('설정'!$C$23*IF($A89&gt;=31,1+'설정'!$C$14*'설정'!$E$23,1)/$D89)&lt;1,('설정'!$C$23*IF($A89&gt;=31,1+'설정'!$C$14*'설정'!$E$23,1)/$D89)^(-'설정'!$C$6),('설정'!$C$23*IF($A89&gt;=31,1+'설정'!$C$14*'설정'!$E$23,1)/$D89)^(-'설정'!$C$7))&gt;('설정'!$C$4+'설정'!$F$23),"실패",ROUND($E89*'설정'!$C$5*IF(('설정'!$C$23*IF($A89&gt;=31,1+'설정'!$C$14*'설정'!$E$23,1)/$D89)&lt;1,('설정'!$C$23*IF($A89&gt;=31,1+'설정'!$C$14*'설정'!$E$23,1)/$D89)^(-'설정'!$C$6),('설정'!$C$23*IF($A89&gt;=31,1+'설정'!$C$14*'설정'!$E$23,1)/$D89)^(-'설정'!$C$7)),0))</f>
        <v/>
      </c>
      <c r="J89" s="8">
        <f>IF($E89*'설정'!$C$5*IF(('설정'!$C$24*IF($A89&gt;=31,1+'설정'!$C$14*'설정'!$E$24,1)/$D89)&lt;1,('설정'!$C$24*IF($A89&gt;=31,1+'설정'!$C$14*'설정'!$E$24,1)/$D89)^(-'설정'!$C$6),('설정'!$C$24*IF($A89&gt;=31,1+'설정'!$C$14*'설정'!$E$24,1)/$D89)^(-'설정'!$C$7))&gt;('설정'!$C$4+'설정'!$F$24),"실패",ROUND($E89*'설정'!$C$5*IF(('설정'!$C$24*IF($A89&gt;=31,1+'설정'!$C$14*'설정'!$E$24,1)/$D89)&lt;1,('설정'!$C$24*IF($A89&gt;=31,1+'설정'!$C$14*'설정'!$E$24,1)/$D89)^(-'설정'!$C$6),('설정'!$C$24*IF($A89&gt;=31,1+'설정'!$C$14*'설정'!$E$24,1)/$D89)^(-'설정'!$C$7)),0))</f>
        <v/>
      </c>
      <c r="K89" s="8">
        <f>IF($E89*'설정'!$C$5*IF(('설정'!$C$25*IF($A89&gt;=31,1+'설정'!$C$14*'설정'!$E$25,1)/$D89)&lt;1,('설정'!$C$25*IF($A89&gt;=31,1+'설정'!$C$14*'설정'!$E$25,1)/$D89)^(-'설정'!$C$6),('설정'!$C$25*IF($A89&gt;=31,1+'설정'!$C$14*'설정'!$E$25,1)/$D89)^(-'설정'!$C$7))&gt;('설정'!$C$4+'설정'!$F$25),"실패",ROUND($E89*'설정'!$C$5*IF(('설정'!$C$25*IF($A89&gt;=31,1+'설정'!$C$14*'설정'!$E$25,1)/$D89)&lt;1,('설정'!$C$25*IF($A89&gt;=31,1+'설정'!$C$14*'설정'!$E$25,1)/$D89)^(-'설정'!$C$6),('설정'!$C$25*IF($A89&gt;=31,1+'설정'!$C$14*'설정'!$E$25,1)/$D89)^(-'설정'!$C$7)),0))</f>
        <v/>
      </c>
      <c r="L89" s="8">
        <f>IF($E89*'설정'!$C$5*IF(('설정'!$C$26*IF($A89&gt;=31,1+'설정'!$C$14*'설정'!$E$26,1)/$D89)&lt;1,('설정'!$C$26*IF($A89&gt;=31,1+'설정'!$C$14*'설정'!$E$26,1)/$D89)^(-'설정'!$C$6),('설정'!$C$26*IF($A89&gt;=31,1+'설정'!$C$14*'설정'!$E$26,1)/$D89)^(-'설정'!$C$7))&gt;('설정'!$C$4+'설정'!$F$26),"실패",ROUND($E89*'설정'!$C$5*IF(('설정'!$C$26*IF($A89&gt;=31,1+'설정'!$C$14*'설정'!$E$26,1)/$D89)&lt;1,('설정'!$C$26*IF($A89&gt;=31,1+'설정'!$C$14*'설정'!$E$26,1)/$D89)^(-'설정'!$C$6),('설정'!$C$26*IF($A89&gt;=31,1+'설정'!$C$14*'설정'!$E$26,1)/$D89)^(-'설정'!$C$7)),0))</f>
        <v/>
      </c>
      <c r="M89" s="8">
        <f>IF($E89*'설정'!$C$5*IF(('설정'!$C$27*IF($A89&gt;=31,1+'설정'!$C$14*'설정'!$E$27,1)/$D89)&lt;1,('설정'!$C$27*IF($A89&gt;=31,1+'설정'!$C$14*'설정'!$E$27,1)/$D89)^(-'설정'!$C$6),('설정'!$C$27*IF($A89&gt;=31,1+'설정'!$C$14*'설정'!$E$27,1)/$D89)^(-'설정'!$C$7))&gt;('설정'!$C$4+'설정'!$F$27),"실패",ROUND($E89*'설정'!$C$5*IF(('설정'!$C$27*IF($A89&gt;=31,1+'설정'!$C$14*'설정'!$E$27,1)/$D89)&lt;1,('설정'!$C$27*IF($A89&gt;=31,1+'설정'!$C$14*'설정'!$E$27,1)/$D89)^(-'설정'!$C$6),('설정'!$C$27*IF($A89&gt;=31,1+'설정'!$C$14*'설정'!$E$27,1)/$D89)^(-'설정'!$C$7)),0))</f>
        <v/>
      </c>
      <c r="N89" s="8">
        <f>IF($E89*'설정'!$C$5*IF(('설정'!$C$28*IF($A89&gt;=31,1+'설정'!$C$14*'설정'!$E$28,1)/$D89)&lt;1,('설정'!$C$28*IF($A89&gt;=31,1+'설정'!$C$14*'설정'!$E$28,1)/$D89)^(-'설정'!$C$6),('설정'!$C$28*IF($A89&gt;=31,1+'설정'!$C$14*'설정'!$E$28,1)/$D89)^(-'설정'!$C$7))&gt;('설정'!$C$4+'설정'!$F$28),"실패",ROUND($E89*'설정'!$C$5*IF(('설정'!$C$28*IF($A89&gt;=31,1+'설정'!$C$14*'설정'!$E$28,1)/$D89)&lt;1,('설정'!$C$28*IF($A89&gt;=31,1+'설정'!$C$14*'설정'!$E$28,1)/$D89)^(-'설정'!$C$6),('설정'!$C$28*IF($A89&gt;=31,1+'설정'!$C$14*'설정'!$E$28,1)/$D89)^(-'설정'!$C$7)),0))</f>
        <v/>
      </c>
      <c r="O89" s="8">
        <f>IF($E89*'설정'!$C$5*IF(('설정'!$C$29*IF($A89&gt;=31,1+'설정'!$C$14*'설정'!$E$29,1)/$D89)&lt;1,('설정'!$C$29*IF($A89&gt;=31,1+'설정'!$C$14*'설정'!$E$29,1)/$D89)^(-'설정'!$C$6),('설정'!$C$29*IF($A89&gt;=31,1+'설정'!$C$14*'설정'!$E$29,1)/$D89)^(-'설정'!$C$7))&gt;('설정'!$C$4+'설정'!$F$29),"실패",ROUND($E89*'설정'!$C$5*IF(('설정'!$C$29*IF($A89&gt;=31,1+'설정'!$C$14*'설정'!$E$29,1)/$D89)&lt;1,('설정'!$C$29*IF($A89&gt;=31,1+'설정'!$C$14*'설정'!$E$29,1)/$D89)^(-'설정'!$C$6),('설정'!$C$29*IF($A89&gt;=31,1+'설정'!$C$14*'설정'!$E$29,1)/$D89)^(-'설정'!$C$7)),0))</f>
        <v/>
      </c>
      <c r="P89" s="8">
        <f>IF($E89*'설정'!$C$5*IF(('설정'!$C$30*IF($A89&gt;=31,1+'설정'!$C$14*'설정'!$E$30,1)/$D89)&lt;1,('설정'!$C$30*IF($A89&gt;=31,1+'설정'!$C$14*'설정'!$E$30,1)/$D89)^(-'설정'!$C$6),('설정'!$C$30*IF($A89&gt;=31,1+'설정'!$C$14*'설정'!$E$30,1)/$D89)^(-'설정'!$C$7))&gt;('설정'!$C$4+'설정'!$F$30),"실패",ROUND($E89*'설정'!$C$5*IF(('설정'!$C$30*IF($A89&gt;=31,1+'설정'!$C$14*'설정'!$E$30,1)/$D89)&lt;1,('설정'!$C$30*IF($A89&gt;=31,1+'설정'!$C$14*'설정'!$E$30,1)/$D89)^(-'설정'!$C$6),('설정'!$C$30*IF($A89&gt;=31,1+'설정'!$C$14*'설정'!$E$30,1)/$D89)^(-'설정'!$C$7)),0))</f>
        <v/>
      </c>
      <c r="Q89" s="8">
        <f>IF($E89*'설정'!$C$5*IF(('설정'!$C$31*IF($A89&gt;=31,1+'설정'!$C$14*'설정'!$E$31,1)/$D89)&lt;1,('설정'!$C$31*IF($A89&gt;=31,1+'설정'!$C$14*'설정'!$E$31,1)/$D89)^(-'설정'!$C$6),('설정'!$C$31*IF($A89&gt;=31,1+'설정'!$C$14*'설정'!$E$31,1)/$D89)^(-'설정'!$C$7))&gt;('설정'!$C$4+'설정'!$F$31),"실패",ROUND($E89*'설정'!$C$5*IF(('설정'!$C$31*IF($A89&gt;=31,1+'설정'!$C$14*'설정'!$E$31,1)/$D89)&lt;1,('설정'!$C$31*IF($A89&gt;=31,1+'설정'!$C$14*'설정'!$E$31,1)/$D89)^(-'설정'!$C$6),('설정'!$C$31*IF($A89&gt;=31,1+'설정'!$C$14*'설정'!$E$31,1)/$D89)^(-'설정'!$C$7)),0))</f>
        <v/>
      </c>
      <c r="R89" s="8">
        <f>IF($E89*'설정'!$C$5*IF(('설정'!$C$32*IF($A89&gt;=31,1+'설정'!$C$14*'설정'!$E$32,1)/$D89)&lt;1,('설정'!$C$32*IF($A89&gt;=31,1+'설정'!$C$14*'설정'!$E$32,1)/$D89)^(-'설정'!$C$6),('설정'!$C$32*IF($A89&gt;=31,1+'설정'!$C$14*'설정'!$E$32,1)/$D89)^(-'설정'!$C$7))&gt;('설정'!$C$4+'설정'!$F$32),"실패",ROUND($E89*'설정'!$C$5*IF(('설정'!$C$32*IF($A89&gt;=31,1+'설정'!$C$14*'설정'!$E$32,1)/$D89)&lt;1,('설정'!$C$32*IF($A89&gt;=31,1+'설정'!$C$14*'설정'!$E$32,1)/$D89)^(-'설정'!$C$6),('설정'!$C$32*IF($A89&gt;=31,1+'설정'!$C$14*'설정'!$E$32,1)/$D89)^(-'설정'!$C$7)),0))</f>
        <v/>
      </c>
      <c r="S89" s="8">
        <f>IF($E89*'설정'!$C$5*IF(('설정'!$C$33*IF($A89&gt;=31,1+'설정'!$C$14*'설정'!$E$33,1)/$D89)&lt;1,('설정'!$C$33*IF($A89&gt;=31,1+'설정'!$C$14*'설정'!$E$33,1)/$D89)^(-'설정'!$C$6),('설정'!$C$33*IF($A89&gt;=31,1+'설정'!$C$14*'설정'!$E$33,1)/$D89)^(-'설정'!$C$7))&gt;('설정'!$C$4+'설정'!$F$33),"실패",ROUND($E89*'설정'!$C$5*IF(('설정'!$C$33*IF($A89&gt;=31,1+'설정'!$C$14*'설정'!$E$33,1)/$D89)&lt;1,('설정'!$C$33*IF($A89&gt;=31,1+'설정'!$C$14*'설정'!$E$33,1)/$D89)^(-'설정'!$C$6),('설정'!$C$33*IF($A89&gt;=31,1+'설정'!$C$14*'설정'!$E$33,1)/$D89)^(-'설정'!$C$7)),0))</f>
        <v/>
      </c>
      <c r="T89" s="8">
        <f>IF($E89*'설정'!$C$5*IF(('설정'!$C$34*IF($A89&gt;=31,1+'설정'!$C$14*'설정'!$E$34,1)/$D89)&lt;1,('설정'!$C$34*IF($A89&gt;=31,1+'설정'!$C$14*'설정'!$E$34,1)/$D89)^(-'설정'!$C$6),('설정'!$C$34*IF($A89&gt;=31,1+'설정'!$C$14*'설정'!$E$34,1)/$D89)^(-'설정'!$C$7))&gt;('설정'!$C$4+'설정'!$F$34),"실패",ROUND($E89*'설정'!$C$5*IF(('설정'!$C$34*IF($A89&gt;=31,1+'설정'!$C$14*'설정'!$E$34,1)/$D89)&lt;1,('설정'!$C$34*IF($A89&gt;=31,1+'설정'!$C$14*'설정'!$E$34,1)/$D89)^(-'설정'!$C$6),('설정'!$C$34*IF($A89&gt;=31,1+'설정'!$C$14*'설정'!$E$34,1)/$D89)^(-'설정'!$C$7)),0))</f>
        <v/>
      </c>
      <c r="U89" s="8">
        <f>IF($E89*'설정'!$C$5*IF(('설정'!$C$35*IF($A89&gt;=31,1+'설정'!$C$14*'설정'!$E$35,1)/$D89)&lt;1,('설정'!$C$35*IF($A89&gt;=31,1+'설정'!$C$14*'설정'!$E$35,1)/$D89)^(-'설정'!$C$6),('설정'!$C$35*IF($A89&gt;=31,1+'설정'!$C$14*'설정'!$E$35,1)/$D89)^(-'설정'!$C$7))&gt;('설정'!$C$4+'설정'!$F$35),"실패",ROUND($E89*'설정'!$C$5*IF(('설정'!$C$35*IF($A89&gt;=31,1+'설정'!$C$14*'설정'!$E$35,1)/$D89)&lt;1,('설정'!$C$35*IF($A89&gt;=31,1+'설정'!$C$14*'설정'!$E$35,1)/$D89)^(-'설정'!$C$6),('설정'!$C$35*IF($A89&gt;=31,1+'설정'!$C$14*'설정'!$E$35,1)/$D89)^(-'설정'!$C$7)),0))</f>
        <v/>
      </c>
      <c r="V89" s="8">
        <f>IF($E89*'설정'!$C$5*IF(('설정'!$C$36*IF($A89&gt;=31,1+'설정'!$C$14*'설정'!$E$36,1)/$D89)&lt;1,('설정'!$C$36*IF($A89&gt;=31,1+'설정'!$C$14*'설정'!$E$36,1)/$D89)^(-'설정'!$C$6),('설정'!$C$36*IF($A89&gt;=31,1+'설정'!$C$14*'설정'!$E$36,1)/$D89)^(-'설정'!$C$7))&gt;('설정'!$C$4+'설정'!$F$36),"실패",ROUND($E89*'설정'!$C$5*IF(('설정'!$C$36*IF($A89&gt;=31,1+'설정'!$C$14*'설정'!$E$36,1)/$D89)&lt;1,('설정'!$C$36*IF($A89&gt;=31,1+'설정'!$C$14*'설정'!$E$36,1)/$D89)^(-'설정'!$C$6),('설정'!$C$36*IF($A89&gt;=31,1+'설정'!$C$14*'설정'!$E$36,1)/$D89)^(-'설정'!$C$7)),0))</f>
        <v/>
      </c>
      <c r="W89" s="8">
        <f>IF($E89*'설정'!$C$5*IF(('설정'!$C$37*IF($A89&gt;=31,1+'설정'!$C$14*'설정'!$E$37,1)/$D89)&lt;1,('설정'!$C$37*IF($A89&gt;=31,1+'설정'!$C$14*'설정'!$E$37,1)/$D89)^(-'설정'!$C$6),('설정'!$C$37*IF($A89&gt;=31,1+'설정'!$C$14*'설정'!$E$37,1)/$D89)^(-'설정'!$C$7))&gt;('설정'!$C$4+'설정'!$F$37),"실패",ROUND($E89*'설정'!$C$5*IF(('설정'!$C$37*IF($A89&gt;=31,1+'설정'!$C$14*'설정'!$E$37,1)/$D89)&lt;1,('설정'!$C$37*IF($A89&gt;=31,1+'설정'!$C$14*'설정'!$E$37,1)/$D89)^(-'설정'!$C$6),('설정'!$C$37*IF($A89&gt;=31,1+'설정'!$C$14*'설정'!$E$37,1)/$D89)^(-'설정'!$C$7)),0))</f>
        <v/>
      </c>
    </row>
    <row r="90">
      <c r="A90" t="n">
        <v>88</v>
      </c>
      <c r="B90" t="inlineStr">
        <is>
          <t>보통</t>
        </is>
      </c>
      <c r="C90" t="inlineStr"/>
      <c r="D90" s="6" t="n">
        <v>28100000</v>
      </c>
      <c r="E90" t="n">
        <v>72</v>
      </c>
      <c r="F90" s="6" t="n">
        <v>562000</v>
      </c>
      <c r="G90" t="n">
        <v>84</v>
      </c>
      <c r="H90" s="8">
        <f>IF($E90*'설정'!$C$5*IF(('설정'!$C$22*IF($A90&gt;=31,1+'설정'!$C$14*'설정'!$E$22,1)/$D90)&lt;1,('설정'!$C$22*IF($A90&gt;=31,1+'설정'!$C$14*'설정'!$E$22,1)/$D90)^(-'설정'!$C$6),('설정'!$C$22*IF($A90&gt;=31,1+'설정'!$C$14*'설정'!$E$22,1)/$D90)^(-'설정'!$C$7))&gt;('설정'!$C$4+'설정'!$F$22),"실패",ROUND($E90*'설정'!$C$5*IF(('설정'!$C$22*IF($A90&gt;=31,1+'설정'!$C$14*'설정'!$E$22,1)/$D90)&lt;1,('설정'!$C$22*IF($A90&gt;=31,1+'설정'!$C$14*'설정'!$E$22,1)/$D90)^(-'설정'!$C$6),('설정'!$C$22*IF($A90&gt;=31,1+'설정'!$C$14*'설정'!$E$22,1)/$D90)^(-'설정'!$C$7)),0))</f>
        <v/>
      </c>
      <c r="I90" s="8">
        <f>IF($E90*'설정'!$C$5*IF(('설정'!$C$23*IF($A90&gt;=31,1+'설정'!$C$14*'설정'!$E$23,1)/$D90)&lt;1,('설정'!$C$23*IF($A90&gt;=31,1+'설정'!$C$14*'설정'!$E$23,1)/$D90)^(-'설정'!$C$6),('설정'!$C$23*IF($A90&gt;=31,1+'설정'!$C$14*'설정'!$E$23,1)/$D90)^(-'설정'!$C$7))&gt;('설정'!$C$4+'설정'!$F$23),"실패",ROUND($E90*'설정'!$C$5*IF(('설정'!$C$23*IF($A90&gt;=31,1+'설정'!$C$14*'설정'!$E$23,1)/$D90)&lt;1,('설정'!$C$23*IF($A90&gt;=31,1+'설정'!$C$14*'설정'!$E$23,1)/$D90)^(-'설정'!$C$6),('설정'!$C$23*IF($A90&gt;=31,1+'설정'!$C$14*'설정'!$E$23,1)/$D90)^(-'설정'!$C$7)),0))</f>
        <v/>
      </c>
      <c r="J90" s="8">
        <f>IF($E90*'설정'!$C$5*IF(('설정'!$C$24*IF($A90&gt;=31,1+'설정'!$C$14*'설정'!$E$24,1)/$D90)&lt;1,('설정'!$C$24*IF($A90&gt;=31,1+'설정'!$C$14*'설정'!$E$24,1)/$D90)^(-'설정'!$C$6),('설정'!$C$24*IF($A90&gt;=31,1+'설정'!$C$14*'설정'!$E$24,1)/$D90)^(-'설정'!$C$7))&gt;('설정'!$C$4+'설정'!$F$24),"실패",ROUND($E90*'설정'!$C$5*IF(('설정'!$C$24*IF($A90&gt;=31,1+'설정'!$C$14*'설정'!$E$24,1)/$D90)&lt;1,('설정'!$C$24*IF($A90&gt;=31,1+'설정'!$C$14*'설정'!$E$24,1)/$D90)^(-'설정'!$C$6),('설정'!$C$24*IF($A90&gt;=31,1+'설정'!$C$14*'설정'!$E$24,1)/$D90)^(-'설정'!$C$7)),0))</f>
        <v/>
      </c>
      <c r="K90" s="8">
        <f>IF($E90*'설정'!$C$5*IF(('설정'!$C$25*IF($A90&gt;=31,1+'설정'!$C$14*'설정'!$E$25,1)/$D90)&lt;1,('설정'!$C$25*IF($A90&gt;=31,1+'설정'!$C$14*'설정'!$E$25,1)/$D90)^(-'설정'!$C$6),('설정'!$C$25*IF($A90&gt;=31,1+'설정'!$C$14*'설정'!$E$25,1)/$D90)^(-'설정'!$C$7))&gt;('설정'!$C$4+'설정'!$F$25),"실패",ROUND($E90*'설정'!$C$5*IF(('설정'!$C$25*IF($A90&gt;=31,1+'설정'!$C$14*'설정'!$E$25,1)/$D90)&lt;1,('설정'!$C$25*IF($A90&gt;=31,1+'설정'!$C$14*'설정'!$E$25,1)/$D90)^(-'설정'!$C$6),('설정'!$C$25*IF($A90&gt;=31,1+'설정'!$C$14*'설정'!$E$25,1)/$D90)^(-'설정'!$C$7)),0))</f>
        <v/>
      </c>
      <c r="L90" s="8">
        <f>IF($E90*'설정'!$C$5*IF(('설정'!$C$26*IF($A90&gt;=31,1+'설정'!$C$14*'설정'!$E$26,1)/$D90)&lt;1,('설정'!$C$26*IF($A90&gt;=31,1+'설정'!$C$14*'설정'!$E$26,1)/$D90)^(-'설정'!$C$6),('설정'!$C$26*IF($A90&gt;=31,1+'설정'!$C$14*'설정'!$E$26,1)/$D90)^(-'설정'!$C$7))&gt;('설정'!$C$4+'설정'!$F$26),"실패",ROUND($E90*'설정'!$C$5*IF(('설정'!$C$26*IF($A90&gt;=31,1+'설정'!$C$14*'설정'!$E$26,1)/$D90)&lt;1,('설정'!$C$26*IF($A90&gt;=31,1+'설정'!$C$14*'설정'!$E$26,1)/$D90)^(-'설정'!$C$6),('설정'!$C$26*IF($A90&gt;=31,1+'설정'!$C$14*'설정'!$E$26,1)/$D90)^(-'설정'!$C$7)),0))</f>
        <v/>
      </c>
      <c r="M90" s="8">
        <f>IF($E90*'설정'!$C$5*IF(('설정'!$C$27*IF($A90&gt;=31,1+'설정'!$C$14*'설정'!$E$27,1)/$D90)&lt;1,('설정'!$C$27*IF($A90&gt;=31,1+'설정'!$C$14*'설정'!$E$27,1)/$D90)^(-'설정'!$C$6),('설정'!$C$27*IF($A90&gt;=31,1+'설정'!$C$14*'설정'!$E$27,1)/$D90)^(-'설정'!$C$7))&gt;('설정'!$C$4+'설정'!$F$27),"실패",ROUND($E90*'설정'!$C$5*IF(('설정'!$C$27*IF($A90&gt;=31,1+'설정'!$C$14*'설정'!$E$27,1)/$D90)&lt;1,('설정'!$C$27*IF($A90&gt;=31,1+'설정'!$C$14*'설정'!$E$27,1)/$D90)^(-'설정'!$C$6),('설정'!$C$27*IF($A90&gt;=31,1+'설정'!$C$14*'설정'!$E$27,1)/$D90)^(-'설정'!$C$7)),0))</f>
        <v/>
      </c>
      <c r="N90" s="8">
        <f>IF($E90*'설정'!$C$5*IF(('설정'!$C$28*IF($A90&gt;=31,1+'설정'!$C$14*'설정'!$E$28,1)/$D90)&lt;1,('설정'!$C$28*IF($A90&gt;=31,1+'설정'!$C$14*'설정'!$E$28,1)/$D90)^(-'설정'!$C$6),('설정'!$C$28*IF($A90&gt;=31,1+'설정'!$C$14*'설정'!$E$28,1)/$D90)^(-'설정'!$C$7))&gt;('설정'!$C$4+'설정'!$F$28),"실패",ROUND($E90*'설정'!$C$5*IF(('설정'!$C$28*IF($A90&gt;=31,1+'설정'!$C$14*'설정'!$E$28,1)/$D90)&lt;1,('설정'!$C$28*IF($A90&gt;=31,1+'설정'!$C$14*'설정'!$E$28,1)/$D90)^(-'설정'!$C$6),('설정'!$C$28*IF($A90&gt;=31,1+'설정'!$C$14*'설정'!$E$28,1)/$D90)^(-'설정'!$C$7)),0))</f>
        <v/>
      </c>
      <c r="O90" s="8">
        <f>IF($E90*'설정'!$C$5*IF(('설정'!$C$29*IF($A90&gt;=31,1+'설정'!$C$14*'설정'!$E$29,1)/$D90)&lt;1,('설정'!$C$29*IF($A90&gt;=31,1+'설정'!$C$14*'설정'!$E$29,1)/$D90)^(-'설정'!$C$6),('설정'!$C$29*IF($A90&gt;=31,1+'설정'!$C$14*'설정'!$E$29,1)/$D90)^(-'설정'!$C$7))&gt;('설정'!$C$4+'설정'!$F$29),"실패",ROUND($E90*'설정'!$C$5*IF(('설정'!$C$29*IF($A90&gt;=31,1+'설정'!$C$14*'설정'!$E$29,1)/$D90)&lt;1,('설정'!$C$29*IF($A90&gt;=31,1+'설정'!$C$14*'설정'!$E$29,1)/$D90)^(-'설정'!$C$6),('설정'!$C$29*IF($A90&gt;=31,1+'설정'!$C$14*'설정'!$E$29,1)/$D90)^(-'설정'!$C$7)),0))</f>
        <v/>
      </c>
      <c r="P90" s="8">
        <f>IF($E90*'설정'!$C$5*IF(('설정'!$C$30*IF($A90&gt;=31,1+'설정'!$C$14*'설정'!$E$30,1)/$D90)&lt;1,('설정'!$C$30*IF($A90&gt;=31,1+'설정'!$C$14*'설정'!$E$30,1)/$D90)^(-'설정'!$C$6),('설정'!$C$30*IF($A90&gt;=31,1+'설정'!$C$14*'설정'!$E$30,1)/$D90)^(-'설정'!$C$7))&gt;('설정'!$C$4+'설정'!$F$30),"실패",ROUND($E90*'설정'!$C$5*IF(('설정'!$C$30*IF($A90&gt;=31,1+'설정'!$C$14*'설정'!$E$30,1)/$D90)&lt;1,('설정'!$C$30*IF($A90&gt;=31,1+'설정'!$C$14*'설정'!$E$30,1)/$D90)^(-'설정'!$C$6),('설정'!$C$30*IF($A90&gt;=31,1+'설정'!$C$14*'설정'!$E$30,1)/$D90)^(-'설정'!$C$7)),0))</f>
        <v/>
      </c>
      <c r="Q90" s="8">
        <f>IF($E90*'설정'!$C$5*IF(('설정'!$C$31*IF($A90&gt;=31,1+'설정'!$C$14*'설정'!$E$31,1)/$D90)&lt;1,('설정'!$C$31*IF($A90&gt;=31,1+'설정'!$C$14*'설정'!$E$31,1)/$D90)^(-'설정'!$C$6),('설정'!$C$31*IF($A90&gt;=31,1+'설정'!$C$14*'설정'!$E$31,1)/$D90)^(-'설정'!$C$7))&gt;('설정'!$C$4+'설정'!$F$31),"실패",ROUND($E90*'설정'!$C$5*IF(('설정'!$C$31*IF($A90&gt;=31,1+'설정'!$C$14*'설정'!$E$31,1)/$D90)&lt;1,('설정'!$C$31*IF($A90&gt;=31,1+'설정'!$C$14*'설정'!$E$31,1)/$D90)^(-'설정'!$C$6),('설정'!$C$31*IF($A90&gt;=31,1+'설정'!$C$14*'설정'!$E$31,1)/$D90)^(-'설정'!$C$7)),0))</f>
        <v/>
      </c>
      <c r="R90" s="8">
        <f>IF($E90*'설정'!$C$5*IF(('설정'!$C$32*IF($A90&gt;=31,1+'설정'!$C$14*'설정'!$E$32,1)/$D90)&lt;1,('설정'!$C$32*IF($A90&gt;=31,1+'설정'!$C$14*'설정'!$E$32,1)/$D90)^(-'설정'!$C$6),('설정'!$C$32*IF($A90&gt;=31,1+'설정'!$C$14*'설정'!$E$32,1)/$D90)^(-'설정'!$C$7))&gt;('설정'!$C$4+'설정'!$F$32),"실패",ROUND($E90*'설정'!$C$5*IF(('설정'!$C$32*IF($A90&gt;=31,1+'설정'!$C$14*'설정'!$E$32,1)/$D90)&lt;1,('설정'!$C$32*IF($A90&gt;=31,1+'설정'!$C$14*'설정'!$E$32,1)/$D90)^(-'설정'!$C$6),('설정'!$C$32*IF($A90&gt;=31,1+'설정'!$C$14*'설정'!$E$32,1)/$D90)^(-'설정'!$C$7)),0))</f>
        <v/>
      </c>
      <c r="S90" s="8">
        <f>IF($E90*'설정'!$C$5*IF(('설정'!$C$33*IF($A90&gt;=31,1+'설정'!$C$14*'설정'!$E$33,1)/$D90)&lt;1,('설정'!$C$33*IF($A90&gt;=31,1+'설정'!$C$14*'설정'!$E$33,1)/$D90)^(-'설정'!$C$6),('설정'!$C$33*IF($A90&gt;=31,1+'설정'!$C$14*'설정'!$E$33,1)/$D90)^(-'설정'!$C$7))&gt;('설정'!$C$4+'설정'!$F$33),"실패",ROUND($E90*'설정'!$C$5*IF(('설정'!$C$33*IF($A90&gt;=31,1+'설정'!$C$14*'설정'!$E$33,1)/$D90)&lt;1,('설정'!$C$33*IF($A90&gt;=31,1+'설정'!$C$14*'설정'!$E$33,1)/$D90)^(-'설정'!$C$6),('설정'!$C$33*IF($A90&gt;=31,1+'설정'!$C$14*'설정'!$E$33,1)/$D90)^(-'설정'!$C$7)),0))</f>
        <v/>
      </c>
      <c r="T90" s="8">
        <f>IF($E90*'설정'!$C$5*IF(('설정'!$C$34*IF($A90&gt;=31,1+'설정'!$C$14*'설정'!$E$34,1)/$D90)&lt;1,('설정'!$C$34*IF($A90&gt;=31,1+'설정'!$C$14*'설정'!$E$34,1)/$D90)^(-'설정'!$C$6),('설정'!$C$34*IF($A90&gt;=31,1+'설정'!$C$14*'설정'!$E$34,1)/$D90)^(-'설정'!$C$7))&gt;('설정'!$C$4+'설정'!$F$34),"실패",ROUND($E90*'설정'!$C$5*IF(('설정'!$C$34*IF($A90&gt;=31,1+'설정'!$C$14*'설정'!$E$34,1)/$D90)&lt;1,('설정'!$C$34*IF($A90&gt;=31,1+'설정'!$C$14*'설정'!$E$34,1)/$D90)^(-'설정'!$C$6),('설정'!$C$34*IF($A90&gt;=31,1+'설정'!$C$14*'설정'!$E$34,1)/$D90)^(-'설정'!$C$7)),0))</f>
        <v/>
      </c>
      <c r="U90" s="8">
        <f>IF($E90*'설정'!$C$5*IF(('설정'!$C$35*IF($A90&gt;=31,1+'설정'!$C$14*'설정'!$E$35,1)/$D90)&lt;1,('설정'!$C$35*IF($A90&gt;=31,1+'설정'!$C$14*'설정'!$E$35,1)/$D90)^(-'설정'!$C$6),('설정'!$C$35*IF($A90&gt;=31,1+'설정'!$C$14*'설정'!$E$35,1)/$D90)^(-'설정'!$C$7))&gt;('설정'!$C$4+'설정'!$F$35),"실패",ROUND($E90*'설정'!$C$5*IF(('설정'!$C$35*IF($A90&gt;=31,1+'설정'!$C$14*'설정'!$E$35,1)/$D90)&lt;1,('설정'!$C$35*IF($A90&gt;=31,1+'설정'!$C$14*'설정'!$E$35,1)/$D90)^(-'설정'!$C$6),('설정'!$C$35*IF($A90&gt;=31,1+'설정'!$C$14*'설정'!$E$35,1)/$D90)^(-'설정'!$C$7)),0))</f>
        <v/>
      </c>
      <c r="V90" s="8">
        <f>IF($E90*'설정'!$C$5*IF(('설정'!$C$36*IF($A90&gt;=31,1+'설정'!$C$14*'설정'!$E$36,1)/$D90)&lt;1,('설정'!$C$36*IF($A90&gt;=31,1+'설정'!$C$14*'설정'!$E$36,1)/$D90)^(-'설정'!$C$6),('설정'!$C$36*IF($A90&gt;=31,1+'설정'!$C$14*'설정'!$E$36,1)/$D90)^(-'설정'!$C$7))&gt;('설정'!$C$4+'설정'!$F$36),"실패",ROUND($E90*'설정'!$C$5*IF(('설정'!$C$36*IF($A90&gt;=31,1+'설정'!$C$14*'설정'!$E$36,1)/$D90)&lt;1,('설정'!$C$36*IF($A90&gt;=31,1+'설정'!$C$14*'설정'!$E$36,1)/$D90)^(-'설정'!$C$6),('설정'!$C$36*IF($A90&gt;=31,1+'설정'!$C$14*'설정'!$E$36,1)/$D90)^(-'설정'!$C$7)),0))</f>
        <v/>
      </c>
      <c r="W90" s="8">
        <f>IF($E90*'설정'!$C$5*IF(('설정'!$C$37*IF($A90&gt;=31,1+'설정'!$C$14*'설정'!$E$37,1)/$D90)&lt;1,('설정'!$C$37*IF($A90&gt;=31,1+'설정'!$C$14*'설정'!$E$37,1)/$D90)^(-'설정'!$C$6),('설정'!$C$37*IF($A90&gt;=31,1+'설정'!$C$14*'설정'!$E$37,1)/$D90)^(-'설정'!$C$7))&gt;('설정'!$C$4+'설정'!$F$37),"실패",ROUND($E90*'설정'!$C$5*IF(('설정'!$C$37*IF($A90&gt;=31,1+'설정'!$C$14*'설정'!$E$37,1)/$D90)&lt;1,('설정'!$C$37*IF($A90&gt;=31,1+'설정'!$C$14*'설정'!$E$37,1)/$D90)^(-'설정'!$C$6),('설정'!$C$37*IF($A90&gt;=31,1+'설정'!$C$14*'설정'!$E$37,1)/$D90)^(-'설정'!$C$7)),0))</f>
        <v/>
      </c>
    </row>
    <row r="91">
      <c r="A91" t="n">
        <v>89</v>
      </c>
      <c r="B91" t="inlineStr">
        <is>
          <t>어려움</t>
        </is>
      </c>
      <c r="C91" t="inlineStr"/>
      <c r="D91" s="6" t="n">
        <v>29300000</v>
      </c>
      <c r="E91" t="n">
        <v>90</v>
      </c>
      <c r="F91" s="6" t="n">
        <v>586000</v>
      </c>
      <c r="G91" t="n">
        <v>85</v>
      </c>
      <c r="H91" s="8">
        <f>IF($E91*'설정'!$C$5*IF(('설정'!$C$22*IF($A91&gt;=31,1+'설정'!$C$14*'설정'!$E$22,1)/$D91)&lt;1,('설정'!$C$22*IF($A91&gt;=31,1+'설정'!$C$14*'설정'!$E$22,1)/$D91)^(-'설정'!$C$6),('설정'!$C$22*IF($A91&gt;=31,1+'설정'!$C$14*'설정'!$E$22,1)/$D91)^(-'설정'!$C$7))&gt;('설정'!$C$4+'설정'!$F$22),"실패",ROUND($E91*'설정'!$C$5*IF(('설정'!$C$22*IF($A91&gt;=31,1+'설정'!$C$14*'설정'!$E$22,1)/$D91)&lt;1,('설정'!$C$22*IF($A91&gt;=31,1+'설정'!$C$14*'설정'!$E$22,1)/$D91)^(-'설정'!$C$6),('설정'!$C$22*IF($A91&gt;=31,1+'설정'!$C$14*'설정'!$E$22,1)/$D91)^(-'설정'!$C$7)),0))</f>
        <v/>
      </c>
      <c r="I91" s="8">
        <f>IF($E91*'설정'!$C$5*IF(('설정'!$C$23*IF($A91&gt;=31,1+'설정'!$C$14*'설정'!$E$23,1)/$D91)&lt;1,('설정'!$C$23*IF($A91&gt;=31,1+'설정'!$C$14*'설정'!$E$23,1)/$D91)^(-'설정'!$C$6),('설정'!$C$23*IF($A91&gt;=31,1+'설정'!$C$14*'설정'!$E$23,1)/$D91)^(-'설정'!$C$7))&gt;('설정'!$C$4+'설정'!$F$23),"실패",ROUND($E91*'설정'!$C$5*IF(('설정'!$C$23*IF($A91&gt;=31,1+'설정'!$C$14*'설정'!$E$23,1)/$D91)&lt;1,('설정'!$C$23*IF($A91&gt;=31,1+'설정'!$C$14*'설정'!$E$23,1)/$D91)^(-'설정'!$C$6),('설정'!$C$23*IF($A91&gt;=31,1+'설정'!$C$14*'설정'!$E$23,1)/$D91)^(-'설정'!$C$7)),0))</f>
        <v/>
      </c>
      <c r="J91" s="8">
        <f>IF($E91*'설정'!$C$5*IF(('설정'!$C$24*IF($A91&gt;=31,1+'설정'!$C$14*'설정'!$E$24,1)/$D91)&lt;1,('설정'!$C$24*IF($A91&gt;=31,1+'설정'!$C$14*'설정'!$E$24,1)/$D91)^(-'설정'!$C$6),('설정'!$C$24*IF($A91&gt;=31,1+'설정'!$C$14*'설정'!$E$24,1)/$D91)^(-'설정'!$C$7))&gt;('설정'!$C$4+'설정'!$F$24),"실패",ROUND($E91*'설정'!$C$5*IF(('설정'!$C$24*IF($A91&gt;=31,1+'설정'!$C$14*'설정'!$E$24,1)/$D91)&lt;1,('설정'!$C$24*IF($A91&gt;=31,1+'설정'!$C$14*'설정'!$E$24,1)/$D91)^(-'설정'!$C$6),('설정'!$C$24*IF($A91&gt;=31,1+'설정'!$C$14*'설정'!$E$24,1)/$D91)^(-'설정'!$C$7)),0))</f>
        <v/>
      </c>
      <c r="K91" s="8">
        <f>IF($E91*'설정'!$C$5*IF(('설정'!$C$25*IF($A91&gt;=31,1+'설정'!$C$14*'설정'!$E$25,1)/$D91)&lt;1,('설정'!$C$25*IF($A91&gt;=31,1+'설정'!$C$14*'설정'!$E$25,1)/$D91)^(-'설정'!$C$6),('설정'!$C$25*IF($A91&gt;=31,1+'설정'!$C$14*'설정'!$E$25,1)/$D91)^(-'설정'!$C$7))&gt;('설정'!$C$4+'설정'!$F$25),"실패",ROUND($E91*'설정'!$C$5*IF(('설정'!$C$25*IF($A91&gt;=31,1+'설정'!$C$14*'설정'!$E$25,1)/$D91)&lt;1,('설정'!$C$25*IF($A91&gt;=31,1+'설정'!$C$14*'설정'!$E$25,1)/$D91)^(-'설정'!$C$6),('설정'!$C$25*IF($A91&gt;=31,1+'설정'!$C$14*'설정'!$E$25,1)/$D91)^(-'설정'!$C$7)),0))</f>
        <v/>
      </c>
      <c r="L91" s="8">
        <f>IF($E91*'설정'!$C$5*IF(('설정'!$C$26*IF($A91&gt;=31,1+'설정'!$C$14*'설정'!$E$26,1)/$D91)&lt;1,('설정'!$C$26*IF($A91&gt;=31,1+'설정'!$C$14*'설정'!$E$26,1)/$D91)^(-'설정'!$C$6),('설정'!$C$26*IF($A91&gt;=31,1+'설정'!$C$14*'설정'!$E$26,1)/$D91)^(-'설정'!$C$7))&gt;('설정'!$C$4+'설정'!$F$26),"실패",ROUND($E91*'설정'!$C$5*IF(('설정'!$C$26*IF($A91&gt;=31,1+'설정'!$C$14*'설정'!$E$26,1)/$D91)&lt;1,('설정'!$C$26*IF($A91&gt;=31,1+'설정'!$C$14*'설정'!$E$26,1)/$D91)^(-'설정'!$C$6),('설정'!$C$26*IF($A91&gt;=31,1+'설정'!$C$14*'설정'!$E$26,1)/$D91)^(-'설정'!$C$7)),0))</f>
        <v/>
      </c>
      <c r="M91" s="8">
        <f>IF($E91*'설정'!$C$5*IF(('설정'!$C$27*IF($A91&gt;=31,1+'설정'!$C$14*'설정'!$E$27,1)/$D91)&lt;1,('설정'!$C$27*IF($A91&gt;=31,1+'설정'!$C$14*'설정'!$E$27,1)/$D91)^(-'설정'!$C$6),('설정'!$C$27*IF($A91&gt;=31,1+'설정'!$C$14*'설정'!$E$27,1)/$D91)^(-'설정'!$C$7))&gt;('설정'!$C$4+'설정'!$F$27),"실패",ROUND($E91*'설정'!$C$5*IF(('설정'!$C$27*IF($A91&gt;=31,1+'설정'!$C$14*'설정'!$E$27,1)/$D91)&lt;1,('설정'!$C$27*IF($A91&gt;=31,1+'설정'!$C$14*'설정'!$E$27,1)/$D91)^(-'설정'!$C$6),('설정'!$C$27*IF($A91&gt;=31,1+'설정'!$C$14*'설정'!$E$27,1)/$D91)^(-'설정'!$C$7)),0))</f>
        <v/>
      </c>
      <c r="N91" s="8">
        <f>IF($E91*'설정'!$C$5*IF(('설정'!$C$28*IF($A91&gt;=31,1+'설정'!$C$14*'설정'!$E$28,1)/$D91)&lt;1,('설정'!$C$28*IF($A91&gt;=31,1+'설정'!$C$14*'설정'!$E$28,1)/$D91)^(-'설정'!$C$6),('설정'!$C$28*IF($A91&gt;=31,1+'설정'!$C$14*'설정'!$E$28,1)/$D91)^(-'설정'!$C$7))&gt;('설정'!$C$4+'설정'!$F$28),"실패",ROUND($E91*'설정'!$C$5*IF(('설정'!$C$28*IF($A91&gt;=31,1+'설정'!$C$14*'설정'!$E$28,1)/$D91)&lt;1,('설정'!$C$28*IF($A91&gt;=31,1+'설정'!$C$14*'설정'!$E$28,1)/$D91)^(-'설정'!$C$6),('설정'!$C$28*IF($A91&gt;=31,1+'설정'!$C$14*'설정'!$E$28,1)/$D91)^(-'설정'!$C$7)),0))</f>
        <v/>
      </c>
      <c r="O91" s="8">
        <f>IF($E91*'설정'!$C$5*IF(('설정'!$C$29*IF($A91&gt;=31,1+'설정'!$C$14*'설정'!$E$29,1)/$D91)&lt;1,('설정'!$C$29*IF($A91&gt;=31,1+'설정'!$C$14*'설정'!$E$29,1)/$D91)^(-'설정'!$C$6),('설정'!$C$29*IF($A91&gt;=31,1+'설정'!$C$14*'설정'!$E$29,1)/$D91)^(-'설정'!$C$7))&gt;('설정'!$C$4+'설정'!$F$29),"실패",ROUND($E91*'설정'!$C$5*IF(('설정'!$C$29*IF($A91&gt;=31,1+'설정'!$C$14*'설정'!$E$29,1)/$D91)&lt;1,('설정'!$C$29*IF($A91&gt;=31,1+'설정'!$C$14*'설정'!$E$29,1)/$D91)^(-'설정'!$C$6),('설정'!$C$29*IF($A91&gt;=31,1+'설정'!$C$14*'설정'!$E$29,1)/$D91)^(-'설정'!$C$7)),0))</f>
        <v/>
      </c>
      <c r="P91" s="8">
        <f>IF($E91*'설정'!$C$5*IF(('설정'!$C$30*IF($A91&gt;=31,1+'설정'!$C$14*'설정'!$E$30,1)/$D91)&lt;1,('설정'!$C$30*IF($A91&gt;=31,1+'설정'!$C$14*'설정'!$E$30,1)/$D91)^(-'설정'!$C$6),('설정'!$C$30*IF($A91&gt;=31,1+'설정'!$C$14*'설정'!$E$30,1)/$D91)^(-'설정'!$C$7))&gt;('설정'!$C$4+'설정'!$F$30),"실패",ROUND($E91*'설정'!$C$5*IF(('설정'!$C$30*IF($A91&gt;=31,1+'설정'!$C$14*'설정'!$E$30,1)/$D91)&lt;1,('설정'!$C$30*IF($A91&gt;=31,1+'설정'!$C$14*'설정'!$E$30,1)/$D91)^(-'설정'!$C$6),('설정'!$C$30*IF($A91&gt;=31,1+'설정'!$C$14*'설정'!$E$30,1)/$D91)^(-'설정'!$C$7)),0))</f>
        <v/>
      </c>
      <c r="Q91" s="8">
        <f>IF($E91*'설정'!$C$5*IF(('설정'!$C$31*IF($A91&gt;=31,1+'설정'!$C$14*'설정'!$E$31,1)/$D91)&lt;1,('설정'!$C$31*IF($A91&gt;=31,1+'설정'!$C$14*'설정'!$E$31,1)/$D91)^(-'설정'!$C$6),('설정'!$C$31*IF($A91&gt;=31,1+'설정'!$C$14*'설정'!$E$31,1)/$D91)^(-'설정'!$C$7))&gt;('설정'!$C$4+'설정'!$F$31),"실패",ROUND($E91*'설정'!$C$5*IF(('설정'!$C$31*IF($A91&gt;=31,1+'설정'!$C$14*'설정'!$E$31,1)/$D91)&lt;1,('설정'!$C$31*IF($A91&gt;=31,1+'설정'!$C$14*'설정'!$E$31,1)/$D91)^(-'설정'!$C$6),('설정'!$C$31*IF($A91&gt;=31,1+'설정'!$C$14*'설정'!$E$31,1)/$D91)^(-'설정'!$C$7)),0))</f>
        <v/>
      </c>
      <c r="R91" s="8">
        <f>IF($E91*'설정'!$C$5*IF(('설정'!$C$32*IF($A91&gt;=31,1+'설정'!$C$14*'설정'!$E$32,1)/$D91)&lt;1,('설정'!$C$32*IF($A91&gt;=31,1+'설정'!$C$14*'설정'!$E$32,1)/$D91)^(-'설정'!$C$6),('설정'!$C$32*IF($A91&gt;=31,1+'설정'!$C$14*'설정'!$E$32,1)/$D91)^(-'설정'!$C$7))&gt;('설정'!$C$4+'설정'!$F$32),"실패",ROUND($E91*'설정'!$C$5*IF(('설정'!$C$32*IF($A91&gt;=31,1+'설정'!$C$14*'설정'!$E$32,1)/$D91)&lt;1,('설정'!$C$32*IF($A91&gt;=31,1+'설정'!$C$14*'설정'!$E$32,1)/$D91)^(-'설정'!$C$6),('설정'!$C$32*IF($A91&gt;=31,1+'설정'!$C$14*'설정'!$E$32,1)/$D91)^(-'설정'!$C$7)),0))</f>
        <v/>
      </c>
      <c r="S91" s="8">
        <f>IF($E91*'설정'!$C$5*IF(('설정'!$C$33*IF($A91&gt;=31,1+'설정'!$C$14*'설정'!$E$33,1)/$D91)&lt;1,('설정'!$C$33*IF($A91&gt;=31,1+'설정'!$C$14*'설정'!$E$33,1)/$D91)^(-'설정'!$C$6),('설정'!$C$33*IF($A91&gt;=31,1+'설정'!$C$14*'설정'!$E$33,1)/$D91)^(-'설정'!$C$7))&gt;('설정'!$C$4+'설정'!$F$33),"실패",ROUND($E91*'설정'!$C$5*IF(('설정'!$C$33*IF($A91&gt;=31,1+'설정'!$C$14*'설정'!$E$33,1)/$D91)&lt;1,('설정'!$C$33*IF($A91&gt;=31,1+'설정'!$C$14*'설정'!$E$33,1)/$D91)^(-'설정'!$C$6),('설정'!$C$33*IF($A91&gt;=31,1+'설정'!$C$14*'설정'!$E$33,1)/$D91)^(-'설정'!$C$7)),0))</f>
        <v/>
      </c>
      <c r="T91" s="8">
        <f>IF($E91*'설정'!$C$5*IF(('설정'!$C$34*IF($A91&gt;=31,1+'설정'!$C$14*'설정'!$E$34,1)/$D91)&lt;1,('설정'!$C$34*IF($A91&gt;=31,1+'설정'!$C$14*'설정'!$E$34,1)/$D91)^(-'설정'!$C$6),('설정'!$C$34*IF($A91&gt;=31,1+'설정'!$C$14*'설정'!$E$34,1)/$D91)^(-'설정'!$C$7))&gt;('설정'!$C$4+'설정'!$F$34),"실패",ROUND($E91*'설정'!$C$5*IF(('설정'!$C$34*IF($A91&gt;=31,1+'설정'!$C$14*'설정'!$E$34,1)/$D91)&lt;1,('설정'!$C$34*IF($A91&gt;=31,1+'설정'!$C$14*'설정'!$E$34,1)/$D91)^(-'설정'!$C$6),('설정'!$C$34*IF($A91&gt;=31,1+'설정'!$C$14*'설정'!$E$34,1)/$D91)^(-'설정'!$C$7)),0))</f>
        <v/>
      </c>
      <c r="U91" s="8">
        <f>IF($E91*'설정'!$C$5*IF(('설정'!$C$35*IF($A91&gt;=31,1+'설정'!$C$14*'설정'!$E$35,1)/$D91)&lt;1,('설정'!$C$35*IF($A91&gt;=31,1+'설정'!$C$14*'설정'!$E$35,1)/$D91)^(-'설정'!$C$6),('설정'!$C$35*IF($A91&gt;=31,1+'설정'!$C$14*'설정'!$E$35,1)/$D91)^(-'설정'!$C$7))&gt;('설정'!$C$4+'설정'!$F$35),"실패",ROUND($E91*'설정'!$C$5*IF(('설정'!$C$35*IF($A91&gt;=31,1+'설정'!$C$14*'설정'!$E$35,1)/$D91)&lt;1,('설정'!$C$35*IF($A91&gt;=31,1+'설정'!$C$14*'설정'!$E$35,1)/$D91)^(-'설정'!$C$6),('설정'!$C$35*IF($A91&gt;=31,1+'설정'!$C$14*'설정'!$E$35,1)/$D91)^(-'설정'!$C$7)),0))</f>
        <v/>
      </c>
      <c r="V91" s="8">
        <f>IF($E91*'설정'!$C$5*IF(('설정'!$C$36*IF($A91&gt;=31,1+'설정'!$C$14*'설정'!$E$36,1)/$D91)&lt;1,('설정'!$C$36*IF($A91&gt;=31,1+'설정'!$C$14*'설정'!$E$36,1)/$D91)^(-'설정'!$C$6),('설정'!$C$36*IF($A91&gt;=31,1+'설정'!$C$14*'설정'!$E$36,1)/$D91)^(-'설정'!$C$7))&gt;('설정'!$C$4+'설정'!$F$36),"실패",ROUND($E91*'설정'!$C$5*IF(('설정'!$C$36*IF($A91&gt;=31,1+'설정'!$C$14*'설정'!$E$36,1)/$D91)&lt;1,('설정'!$C$36*IF($A91&gt;=31,1+'설정'!$C$14*'설정'!$E$36,1)/$D91)^(-'설정'!$C$6),('설정'!$C$36*IF($A91&gt;=31,1+'설정'!$C$14*'설정'!$E$36,1)/$D91)^(-'설정'!$C$7)),0))</f>
        <v/>
      </c>
      <c r="W91" s="8">
        <f>IF($E91*'설정'!$C$5*IF(('설정'!$C$37*IF($A91&gt;=31,1+'설정'!$C$14*'설정'!$E$37,1)/$D91)&lt;1,('설정'!$C$37*IF($A91&gt;=31,1+'설정'!$C$14*'설정'!$E$37,1)/$D91)^(-'설정'!$C$6),('설정'!$C$37*IF($A91&gt;=31,1+'설정'!$C$14*'설정'!$E$37,1)/$D91)^(-'설정'!$C$7))&gt;('설정'!$C$4+'설정'!$F$37),"실패",ROUND($E91*'설정'!$C$5*IF(('설정'!$C$37*IF($A91&gt;=31,1+'설정'!$C$14*'설정'!$E$37,1)/$D91)&lt;1,('설정'!$C$37*IF($A91&gt;=31,1+'설정'!$C$14*'설정'!$E$37,1)/$D91)^(-'설정'!$C$6),('설정'!$C$37*IF($A91&gt;=31,1+'설정'!$C$14*'설정'!$E$37,1)/$D91)^(-'설정'!$C$7)),0))</f>
        <v/>
      </c>
    </row>
    <row r="92">
      <c r="A92" s="4" t="n">
        <v>90</v>
      </c>
      <c r="B92" s="4" t="inlineStr">
        <is>
          <t>허들</t>
        </is>
      </c>
      <c r="C92" s="4" t="inlineStr">
        <is>
          <t>보스</t>
        </is>
      </c>
      <c r="D92" s="9" t="n">
        <v>48800000</v>
      </c>
      <c r="E92" s="4" t="n">
        <v>159.6</v>
      </c>
      <c r="F92" s="9" t="n">
        <v>977000</v>
      </c>
      <c r="G92" s="4" t="n">
        <v>91</v>
      </c>
      <c r="H92" s="8">
        <f>IF($E92*'설정'!$C$5*IF(('설정'!$C$22*IF($A92&gt;=31,1+'설정'!$C$14*'설정'!$E$22,1)/$D92)&lt;1,('설정'!$C$22*IF($A92&gt;=31,1+'설정'!$C$14*'설정'!$E$22,1)/$D92)^(-'설정'!$C$6),('설정'!$C$22*IF($A92&gt;=31,1+'설정'!$C$14*'설정'!$E$22,1)/$D92)^(-'설정'!$C$7))&gt;('설정'!$C$4+'설정'!$F$22+'설정'!$G$22),"실패",ROUND($E92*'설정'!$C$5*IF(('설정'!$C$22*IF($A92&gt;=31,1+'설정'!$C$14*'설정'!$E$22,1)/$D92)&lt;1,('설정'!$C$22*IF($A92&gt;=31,1+'설정'!$C$14*'설정'!$E$22,1)/$D92)^(-'설정'!$C$6),('설정'!$C$22*IF($A92&gt;=31,1+'설정'!$C$14*'설정'!$E$22,1)/$D92)^(-'설정'!$C$7)),0))</f>
        <v/>
      </c>
      <c r="I92" s="8">
        <f>IF($E92*'설정'!$C$5*IF(('설정'!$C$23*IF($A92&gt;=31,1+'설정'!$C$14*'설정'!$E$23,1)/$D92)&lt;1,('설정'!$C$23*IF($A92&gt;=31,1+'설정'!$C$14*'설정'!$E$23,1)/$D92)^(-'설정'!$C$6),('설정'!$C$23*IF($A92&gt;=31,1+'설정'!$C$14*'설정'!$E$23,1)/$D92)^(-'설정'!$C$7))&gt;('설정'!$C$4+'설정'!$F$23+'설정'!$G$23),"실패",ROUND($E92*'설정'!$C$5*IF(('설정'!$C$23*IF($A92&gt;=31,1+'설정'!$C$14*'설정'!$E$23,1)/$D92)&lt;1,('설정'!$C$23*IF($A92&gt;=31,1+'설정'!$C$14*'설정'!$E$23,1)/$D92)^(-'설정'!$C$6),('설정'!$C$23*IF($A92&gt;=31,1+'설정'!$C$14*'설정'!$E$23,1)/$D92)^(-'설정'!$C$7)),0))</f>
        <v/>
      </c>
      <c r="J92" s="8">
        <f>IF($E92*'설정'!$C$5*IF(('설정'!$C$24*IF($A92&gt;=31,1+'설정'!$C$14*'설정'!$E$24,1)/$D92)&lt;1,('설정'!$C$24*IF($A92&gt;=31,1+'설정'!$C$14*'설정'!$E$24,1)/$D92)^(-'설정'!$C$6),('설정'!$C$24*IF($A92&gt;=31,1+'설정'!$C$14*'설정'!$E$24,1)/$D92)^(-'설정'!$C$7))&gt;('설정'!$C$4+'설정'!$F$24+'설정'!$G$24),"실패",ROUND($E92*'설정'!$C$5*IF(('설정'!$C$24*IF($A92&gt;=31,1+'설정'!$C$14*'설정'!$E$24,1)/$D92)&lt;1,('설정'!$C$24*IF($A92&gt;=31,1+'설정'!$C$14*'설정'!$E$24,1)/$D92)^(-'설정'!$C$6),('설정'!$C$24*IF($A92&gt;=31,1+'설정'!$C$14*'설정'!$E$24,1)/$D92)^(-'설정'!$C$7)),0))</f>
        <v/>
      </c>
      <c r="K92" s="8">
        <f>IF($E92*'설정'!$C$5*IF(('설정'!$C$25*IF($A92&gt;=31,1+'설정'!$C$14*'설정'!$E$25,1)/$D92)&lt;1,('설정'!$C$25*IF($A92&gt;=31,1+'설정'!$C$14*'설정'!$E$25,1)/$D92)^(-'설정'!$C$6),('설정'!$C$25*IF($A92&gt;=31,1+'설정'!$C$14*'설정'!$E$25,1)/$D92)^(-'설정'!$C$7))&gt;('설정'!$C$4+'설정'!$F$25+'설정'!$G$25),"실패",ROUND($E92*'설정'!$C$5*IF(('설정'!$C$25*IF($A92&gt;=31,1+'설정'!$C$14*'설정'!$E$25,1)/$D92)&lt;1,('설정'!$C$25*IF($A92&gt;=31,1+'설정'!$C$14*'설정'!$E$25,1)/$D92)^(-'설정'!$C$6),('설정'!$C$25*IF($A92&gt;=31,1+'설정'!$C$14*'설정'!$E$25,1)/$D92)^(-'설정'!$C$7)),0))</f>
        <v/>
      </c>
      <c r="L92" s="8">
        <f>IF($E92*'설정'!$C$5*IF(('설정'!$C$26*IF($A92&gt;=31,1+'설정'!$C$14*'설정'!$E$26,1)/$D92)&lt;1,('설정'!$C$26*IF($A92&gt;=31,1+'설정'!$C$14*'설정'!$E$26,1)/$D92)^(-'설정'!$C$6),('설정'!$C$26*IF($A92&gt;=31,1+'설정'!$C$14*'설정'!$E$26,1)/$D92)^(-'설정'!$C$7))&gt;('설정'!$C$4+'설정'!$F$26+'설정'!$G$26),"실패",ROUND($E92*'설정'!$C$5*IF(('설정'!$C$26*IF($A92&gt;=31,1+'설정'!$C$14*'설정'!$E$26,1)/$D92)&lt;1,('설정'!$C$26*IF($A92&gt;=31,1+'설정'!$C$14*'설정'!$E$26,1)/$D92)^(-'설정'!$C$6),('설정'!$C$26*IF($A92&gt;=31,1+'설정'!$C$14*'설정'!$E$26,1)/$D92)^(-'설정'!$C$7)),0))</f>
        <v/>
      </c>
      <c r="M92" s="8">
        <f>IF($E92*'설정'!$C$5*IF(('설정'!$C$27*IF($A92&gt;=31,1+'설정'!$C$14*'설정'!$E$27,1)/$D92)&lt;1,('설정'!$C$27*IF($A92&gt;=31,1+'설정'!$C$14*'설정'!$E$27,1)/$D92)^(-'설정'!$C$6),('설정'!$C$27*IF($A92&gt;=31,1+'설정'!$C$14*'설정'!$E$27,1)/$D92)^(-'설정'!$C$7))&gt;('설정'!$C$4+'설정'!$F$27+'설정'!$G$27),"실패",ROUND($E92*'설정'!$C$5*IF(('설정'!$C$27*IF($A92&gt;=31,1+'설정'!$C$14*'설정'!$E$27,1)/$D92)&lt;1,('설정'!$C$27*IF($A92&gt;=31,1+'설정'!$C$14*'설정'!$E$27,1)/$D92)^(-'설정'!$C$6),('설정'!$C$27*IF($A92&gt;=31,1+'설정'!$C$14*'설정'!$E$27,1)/$D92)^(-'설정'!$C$7)),0))</f>
        <v/>
      </c>
      <c r="N92" s="8">
        <f>IF($E92*'설정'!$C$5*IF(('설정'!$C$28*IF($A92&gt;=31,1+'설정'!$C$14*'설정'!$E$28,1)/$D92)&lt;1,('설정'!$C$28*IF($A92&gt;=31,1+'설정'!$C$14*'설정'!$E$28,1)/$D92)^(-'설정'!$C$6),('설정'!$C$28*IF($A92&gt;=31,1+'설정'!$C$14*'설정'!$E$28,1)/$D92)^(-'설정'!$C$7))&gt;('설정'!$C$4+'설정'!$F$28+'설정'!$G$28),"실패",ROUND($E92*'설정'!$C$5*IF(('설정'!$C$28*IF($A92&gt;=31,1+'설정'!$C$14*'설정'!$E$28,1)/$D92)&lt;1,('설정'!$C$28*IF($A92&gt;=31,1+'설정'!$C$14*'설정'!$E$28,1)/$D92)^(-'설정'!$C$6),('설정'!$C$28*IF($A92&gt;=31,1+'설정'!$C$14*'설정'!$E$28,1)/$D92)^(-'설정'!$C$7)),0))</f>
        <v/>
      </c>
      <c r="O92" s="8">
        <f>IF($E92*'설정'!$C$5*IF(('설정'!$C$29*IF($A92&gt;=31,1+'설정'!$C$14*'설정'!$E$29,1)/$D92)&lt;1,('설정'!$C$29*IF($A92&gt;=31,1+'설정'!$C$14*'설정'!$E$29,1)/$D92)^(-'설정'!$C$6),('설정'!$C$29*IF($A92&gt;=31,1+'설정'!$C$14*'설정'!$E$29,1)/$D92)^(-'설정'!$C$7))&gt;('설정'!$C$4+'설정'!$F$29+'설정'!$G$29),"실패",ROUND($E92*'설정'!$C$5*IF(('설정'!$C$29*IF($A92&gt;=31,1+'설정'!$C$14*'설정'!$E$29,1)/$D92)&lt;1,('설정'!$C$29*IF($A92&gt;=31,1+'설정'!$C$14*'설정'!$E$29,1)/$D92)^(-'설정'!$C$6),('설정'!$C$29*IF($A92&gt;=31,1+'설정'!$C$14*'설정'!$E$29,1)/$D92)^(-'설정'!$C$7)),0))</f>
        <v/>
      </c>
      <c r="P92" s="8">
        <f>IF($E92*'설정'!$C$5*IF(('설정'!$C$30*IF($A92&gt;=31,1+'설정'!$C$14*'설정'!$E$30,1)/$D92)&lt;1,('설정'!$C$30*IF($A92&gt;=31,1+'설정'!$C$14*'설정'!$E$30,1)/$D92)^(-'설정'!$C$6),('설정'!$C$30*IF($A92&gt;=31,1+'설정'!$C$14*'설정'!$E$30,1)/$D92)^(-'설정'!$C$7))&gt;('설정'!$C$4+'설정'!$F$30+'설정'!$G$30),"실패",ROUND($E92*'설정'!$C$5*IF(('설정'!$C$30*IF($A92&gt;=31,1+'설정'!$C$14*'설정'!$E$30,1)/$D92)&lt;1,('설정'!$C$30*IF($A92&gt;=31,1+'설정'!$C$14*'설정'!$E$30,1)/$D92)^(-'설정'!$C$6),('설정'!$C$30*IF($A92&gt;=31,1+'설정'!$C$14*'설정'!$E$30,1)/$D92)^(-'설정'!$C$7)),0))</f>
        <v/>
      </c>
      <c r="Q92" s="8">
        <f>IF($E92*'설정'!$C$5*IF(('설정'!$C$31*IF($A92&gt;=31,1+'설정'!$C$14*'설정'!$E$31,1)/$D92)&lt;1,('설정'!$C$31*IF($A92&gt;=31,1+'설정'!$C$14*'설정'!$E$31,1)/$D92)^(-'설정'!$C$6),('설정'!$C$31*IF($A92&gt;=31,1+'설정'!$C$14*'설정'!$E$31,1)/$D92)^(-'설정'!$C$7))&gt;('설정'!$C$4+'설정'!$F$31+'설정'!$G$31),"실패",ROUND($E92*'설정'!$C$5*IF(('설정'!$C$31*IF($A92&gt;=31,1+'설정'!$C$14*'설정'!$E$31,1)/$D92)&lt;1,('설정'!$C$31*IF($A92&gt;=31,1+'설정'!$C$14*'설정'!$E$31,1)/$D92)^(-'설정'!$C$6),('설정'!$C$31*IF($A92&gt;=31,1+'설정'!$C$14*'설정'!$E$31,1)/$D92)^(-'설정'!$C$7)),0))</f>
        <v/>
      </c>
      <c r="R92" s="8">
        <f>IF($E92*'설정'!$C$5*IF(('설정'!$C$32*IF($A92&gt;=31,1+'설정'!$C$14*'설정'!$E$32,1)/$D92)&lt;1,('설정'!$C$32*IF($A92&gt;=31,1+'설정'!$C$14*'설정'!$E$32,1)/$D92)^(-'설정'!$C$6),('설정'!$C$32*IF($A92&gt;=31,1+'설정'!$C$14*'설정'!$E$32,1)/$D92)^(-'설정'!$C$7))&gt;('설정'!$C$4+'설정'!$F$32+'설정'!$G$32),"실패",ROUND($E92*'설정'!$C$5*IF(('설정'!$C$32*IF($A92&gt;=31,1+'설정'!$C$14*'설정'!$E$32,1)/$D92)&lt;1,('설정'!$C$32*IF($A92&gt;=31,1+'설정'!$C$14*'설정'!$E$32,1)/$D92)^(-'설정'!$C$6),('설정'!$C$32*IF($A92&gt;=31,1+'설정'!$C$14*'설정'!$E$32,1)/$D92)^(-'설정'!$C$7)),0))</f>
        <v/>
      </c>
      <c r="S92" s="8">
        <f>IF($E92*'설정'!$C$5*IF(('설정'!$C$33*IF($A92&gt;=31,1+'설정'!$C$14*'설정'!$E$33,1)/$D92)&lt;1,('설정'!$C$33*IF($A92&gt;=31,1+'설정'!$C$14*'설정'!$E$33,1)/$D92)^(-'설정'!$C$6),('설정'!$C$33*IF($A92&gt;=31,1+'설정'!$C$14*'설정'!$E$33,1)/$D92)^(-'설정'!$C$7))&gt;('설정'!$C$4+'설정'!$F$33+'설정'!$G$33),"실패",ROUND($E92*'설정'!$C$5*IF(('설정'!$C$33*IF($A92&gt;=31,1+'설정'!$C$14*'설정'!$E$33,1)/$D92)&lt;1,('설정'!$C$33*IF($A92&gt;=31,1+'설정'!$C$14*'설정'!$E$33,1)/$D92)^(-'설정'!$C$6),('설정'!$C$33*IF($A92&gt;=31,1+'설정'!$C$14*'설정'!$E$33,1)/$D92)^(-'설정'!$C$7)),0))</f>
        <v/>
      </c>
      <c r="T92" s="8">
        <f>IF($E92*'설정'!$C$5*IF(('설정'!$C$34*IF($A92&gt;=31,1+'설정'!$C$14*'설정'!$E$34,1)/$D92)&lt;1,('설정'!$C$34*IF($A92&gt;=31,1+'설정'!$C$14*'설정'!$E$34,1)/$D92)^(-'설정'!$C$6),('설정'!$C$34*IF($A92&gt;=31,1+'설정'!$C$14*'설정'!$E$34,1)/$D92)^(-'설정'!$C$7))&gt;('설정'!$C$4+'설정'!$F$34+'설정'!$G$34),"실패",ROUND($E92*'설정'!$C$5*IF(('설정'!$C$34*IF($A92&gt;=31,1+'설정'!$C$14*'설정'!$E$34,1)/$D92)&lt;1,('설정'!$C$34*IF($A92&gt;=31,1+'설정'!$C$14*'설정'!$E$34,1)/$D92)^(-'설정'!$C$6),('설정'!$C$34*IF($A92&gt;=31,1+'설정'!$C$14*'설정'!$E$34,1)/$D92)^(-'설정'!$C$7)),0))</f>
        <v/>
      </c>
      <c r="U92" s="8">
        <f>IF($E92*'설정'!$C$5*IF(('설정'!$C$35*IF($A92&gt;=31,1+'설정'!$C$14*'설정'!$E$35,1)/$D92)&lt;1,('설정'!$C$35*IF($A92&gt;=31,1+'설정'!$C$14*'설정'!$E$35,1)/$D92)^(-'설정'!$C$6),('설정'!$C$35*IF($A92&gt;=31,1+'설정'!$C$14*'설정'!$E$35,1)/$D92)^(-'설정'!$C$7))&gt;('설정'!$C$4+'설정'!$F$35+'설정'!$G$35),"실패",ROUND($E92*'설정'!$C$5*IF(('설정'!$C$35*IF($A92&gt;=31,1+'설정'!$C$14*'설정'!$E$35,1)/$D92)&lt;1,('설정'!$C$35*IF($A92&gt;=31,1+'설정'!$C$14*'설정'!$E$35,1)/$D92)^(-'설정'!$C$6),('설정'!$C$35*IF($A92&gt;=31,1+'설정'!$C$14*'설정'!$E$35,1)/$D92)^(-'설정'!$C$7)),0))</f>
        <v/>
      </c>
      <c r="V92" s="8">
        <f>IF($E92*'설정'!$C$5*IF(('설정'!$C$36*IF($A92&gt;=31,1+'설정'!$C$14*'설정'!$E$36,1)/$D92)&lt;1,('설정'!$C$36*IF($A92&gt;=31,1+'설정'!$C$14*'설정'!$E$36,1)/$D92)^(-'설정'!$C$6),('설정'!$C$36*IF($A92&gt;=31,1+'설정'!$C$14*'설정'!$E$36,1)/$D92)^(-'설정'!$C$7))&gt;('설정'!$C$4+'설정'!$F$36+'설정'!$G$36),"실패",ROUND($E92*'설정'!$C$5*IF(('설정'!$C$36*IF($A92&gt;=31,1+'설정'!$C$14*'설정'!$E$36,1)/$D92)&lt;1,('설정'!$C$36*IF($A92&gt;=31,1+'설정'!$C$14*'설정'!$E$36,1)/$D92)^(-'설정'!$C$6),('설정'!$C$36*IF($A92&gt;=31,1+'설정'!$C$14*'설정'!$E$36,1)/$D92)^(-'설정'!$C$7)),0))</f>
        <v/>
      </c>
      <c r="W92" s="8">
        <f>IF($E92*'설정'!$C$5*IF(('설정'!$C$37*IF($A92&gt;=31,1+'설정'!$C$14*'설정'!$E$37,1)/$D92)&lt;1,('설정'!$C$37*IF($A92&gt;=31,1+'설정'!$C$14*'설정'!$E$37,1)/$D92)^(-'설정'!$C$6),('설정'!$C$37*IF($A92&gt;=31,1+'설정'!$C$14*'설정'!$E$37,1)/$D92)^(-'설정'!$C$7))&gt;('설정'!$C$4+'설정'!$F$37+'설정'!$G$37),"실패",ROUND($E92*'설정'!$C$5*IF(('설정'!$C$37*IF($A92&gt;=31,1+'설정'!$C$14*'설정'!$E$37,1)/$D92)&lt;1,('설정'!$C$37*IF($A92&gt;=31,1+'설정'!$C$14*'설정'!$E$37,1)/$D92)^(-'설정'!$C$6),('설정'!$C$37*IF($A92&gt;=31,1+'설정'!$C$14*'설정'!$E$37,1)/$D92)^(-'설정'!$C$7)),0))</f>
        <v/>
      </c>
    </row>
    <row r="93">
      <c r="A93" t="n">
        <v>91</v>
      </c>
      <c r="B93" t="inlineStr">
        <is>
          <t>쉬움</t>
        </is>
      </c>
      <c r="C93" t="inlineStr"/>
      <c r="D93" s="6" t="n">
        <v>31700000</v>
      </c>
      <c r="E93" t="n">
        <v>72</v>
      </c>
      <c r="F93" s="6" t="n">
        <v>634000</v>
      </c>
      <c r="G93" t="n">
        <v>91</v>
      </c>
      <c r="H93" s="8">
        <f>IF($E93*'설정'!$C$5*IF(('설정'!$C$22*IF($A93&gt;=31,1+'설정'!$C$14*'설정'!$E$22,1)/$D93)&lt;1,('설정'!$C$22*IF($A93&gt;=31,1+'설정'!$C$14*'설정'!$E$22,1)/$D93)^(-'설정'!$C$6),('설정'!$C$22*IF($A93&gt;=31,1+'설정'!$C$14*'설정'!$E$22,1)/$D93)^(-'설정'!$C$7))&gt;('설정'!$C$4+'설정'!$F$22),"실패",ROUND($E93*'설정'!$C$5*IF(('설정'!$C$22*IF($A93&gt;=31,1+'설정'!$C$14*'설정'!$E$22,1)/$D93)&lt;1,('설정'!$C$22*IF($A93&gt;=31,1+'설정'!$C$14*'설정'!$E$22,1)/$D93)^(-'설정'!$C$6),('설정'!$C$22*IF($A93&gt;=31,1+'설정'!$C$14*'설정'!$E$22,1)/$D93)^(-'설정'!$C$7)),0))</f>
        <v/>
      </c>
      <c r="I93" s="8">
        <f>IF($E93*'설정'!$C$5*IF(('설정'!$C$23*IF($A93&gt;=31,1+'설정'!$C$14*'설정'!$E$23,1)/$D93)&lt;1,('설정'!$C$23*IF($A93&gt;=31,1+'설정'!$C$14*'설정'!$E$23,1)/$D93)^(-'설정'!$C$6),('설정'!$C$23*IF($A93&gt;=31,1+'설정'!$C$14*'설정'!$E$23,1)/$D93)^(-'설정'!$C$7))&gt;('설정'!$C$4+'설정'!$F$23),"실패",ROUND($E93*'설정'!$C$5*IF(('설정'!$C$23*IF($A93&gt;=31,1+'설정'!$C$14*'설정'!$E$23,1)/$D93)&lt;1,('설정'!$C$23*IF($A93&gt;=31,1+'설정'!$C$14*'설정'!$E$23,1)/$D93)^(-'설정'!$C$6),('설정'!$C$23*IF($A93&gt;=31,1+'설정'!$C$14*'설정'!$E$23,1)/$D93)^(-'설정'!$C$7)),0))</f>
        <v/>
      </c>
      <c r="J93" s="8">
        <f>IF($E93*'설정'!$C$5*IF(('설정'!$C$24*IF($A93&gt;=31,1+'설정'!$C$14*'설정'!$E$24,1)/$D93)&lt;1,('설정'!$C$24*IF($A93&gt;=31,1+'설정'!$C$14*'설정'!$E$24,1)/$D93)^(-'설정'!$C$6),('설정'!$C$24*IF($A93&gt;=31,1+'설정'!$C$14*'설정'!$E$24,1)/$D93)^(-'설정'!$C$7))&gt;('설정'!$C$4+'설정'!$F$24),"실패",ROUND($E93*'설정'!$C$5*IF(('설정'!$C$24*IF($A93&gt;=31,1+'설정'!$C$14*'설정'!$E$24,1)/$D93)&lt;1,('설정'!$C$24*IF($A93&gt;=31,1+'설정'!$C$14*'설정'!$E$24,1)/$D93)^(-'설정'!$C$6),('설정'!$C$24*IF($A93&gt;=31,1+'설정'!$C$14*'설정'!$E$24,1)/$D93)^(-'설정'!$C$7)),0))</f>
        <v/>
      </c>
      <c r="K93" s="8">
        <f>IF($E93*'설정'!$C$5*IF(('설정'!$C$25*IF($A93&gt;=31,1+'설정'!$C$14*'설정'!$E$25,1)/$D93)&lt;1,('설정'!$C$25*IF($A93&gt;=31,1+'설정'!$C$14*'설정'!$E$25,1)/$D93)^(-'설정'!$C$6),('설정'!$C$25*IF($A93&gt;=31,1+'설정'!$C$14*'설정'!$E$25,1)/$D93)^(-'설정'!$C$7))&gt;('설정'!$C$4+'설정'!$F$25),"실패",ROUND($E93*'설정'!$C$5*IF(('설정'!$C$25*IF($A93&gt;=31,1+'설정'!$C$14*'설정'!$E$25,1)/$D93)&lt;1,('설정'!$C$25*IF($A93&gt;=31,1+'설정'!$C$14*'설정'!$E$25,1)/$D93)^(-'설정'!$C$6),('설정'!$C$25*IF($A93&gt;=31,1+'설정'!$C$14*'설정'!$E$25,1)/$D93)^(-'설정'!$C$7)),0))</f>
        <v/>
      </c>
      <c r="L93" s="8">
        <f>IF($E93*'설정'!$C$5*IF(('설정'!$C$26*IF($A93&gt;=31,1+'설정'!$C$14*'설정'!$E$26,1)/$D93)&lt;1,('설정'!$C$26*IF($A93&gt;=31,1+'설정'!$C$14*'설정'!$E$26,1)/$D93)^(-'설정'!$C$6),('설정'!$C$26*IF($A93&gt;=31,1+'설정'!$C$14*'설정'!$E$26,1)/$D93)^(-'설정'!$C$7))&gt;('설정'!$C$4+'설정'!$F$26),"실패",ROUND($E93*'설정'!$C$5*IF(('설정'!$C$26*IF($A93&gt;=31,1+'설정'!$C$14*'설정'!$E$26,1)/$D93)&lt;1,('설정'!$C$26*IF($A93&gt;=31,1+'설정'!$C$14*'설정'!$E$26,1)/$D93)^(-'설정'!$C$6),('설정'!$C$26*IF($A93&gt;=31,1+'설정'!$C$14*'설정'!$E$26,1)/$D93)^(-'설정'!$C$7)),0))</f>
        <v/>
      </c>
      <c r="M93" s="8">
        <f>IF($E93*'설정'!$C$5*IF(('설정'!$C$27*IF($A93&gt;=31,1+'설정'!$C$14*'설정'!$E$27,1)/$D93)&lt;1,('설정'!$C$27*IF($A93&gt;=31,1+'설정'!$C$14*'설정'!$E$27,1)/$D93)^(-'설정'!$C$6),('설정'!$C$27*IF($A93&gt;=31,1+'설정'!$C$14*'설정'!$E$27,1)/$D93)^(-'설정'!$C$7))&gt;('설정'!$C$4+'설정'!$F$27),"실패",ROUND($E93*'설정'!$C$5*IF(('설정'!$C$27*IF($A93&gt;=31,1+'설정'!$C$14*'설정'!$E$27,1)/$D93)&lt;1,('설정'!$C$27*IF($A93&gt;=31,1+'설정'!$C$14*'설정'!$E$27,1)/$D93)^(-'설정'!$C$6),('설정'!$C$27*IF($A93&gt;=31,1+'설정'!$C$14*'설정'!$E$27,1)/$D93)^(-'설정'!$C$7)),0))</f>
        <v/>
      </c>
      <c r="N93" s="8">
        <f>IF($E93*'설정'!$C$5*IF(('설정'!$C$28*IF($A93&gt;=31,1+'설정'!$C$14*'설정'!$E$28,1)/$D93)&lt;1,('설정'!$C$28*IF($A93&gt;=31,1+'설정'!$C$14*'설정'!$E$28,1)/$D93)^(-'설정'!$C$6),('설정'!$C$28*IF($A93&gt;=31,1+'설정'!$C$14*'설정'!$E$28,1)/$D93)^(-'설정'!$C$7))&gt;('설정'!$C$4+'설정'!$F$28),"실패",ROUND($E93*'설정'!$C$5*IF(('설정'!$C$28*IF($A93&gt;=31,1+'설정'!$C$14*'설정'!$E$28,1)/$D93)&lt;1,('설정'!$C$28*IF($A93&gt;=31,1+'설정'!$C$14*'설정'!$E$28,1)/$D93)^(-'설정'!$C$6),('설정'!$C$28*IF($A93&gt;=31,1+'설정'!$C$14*'설정'!$E$28,1)/$D93)^(-'설정'!$C$7)),0))</f>
        <v/>
      </c>
      <c r="O93" s="8">
        <f>IF($E93*'설정'!$C$5*IF(('설정'!$C$29*IF($A93&gt;=31,1+'설정'!$C$14*'설정'!$E$29,1)/$D93)&lt;1,('설정'!$C$29*IF($A93&gt;=31,1+'설정'!$C$14*'설정'!$E$29,1)/$D93)^(-'설정'!$C$6),('설정'!$C$29*IF($A93&gt;=31,1+'설정'!$C$14*'설정'!$E$29,1)/$D93)^(-'설정'!$C$7))&gt;('설정'!$C$4+'설정'!$F$29),"실패",ROUND($E93*'설정'!$C$5*IF(('설정'!$C$29*IF($A93&gt;=31,1+'설정'!$C$14*'설정'!$E$29,1)/$D93)&lt;1,('설정'!$C$29*IF($A93&gt;=31,1+'설정'!$C$14*'설정'!$E$29,1)/$D93)^(-'설정'!$C$6),('설정'!$C$29*IF($A93&gt;=31,1+'설정'!$C$14*'설정'!$E$29,1)/$D93)^(-'설정'!$C$7)),0))</f>
        <v/>
      </c>
      <c r="P93" s="8">
        <f>IF($E93*'설정'!$C$5*IF(('설정'!$C$30*IF($A93&gt;=31,1+'설정'!$C$14*'설정'!$E$30,1)/$D93)&lt;1,('설정'!$C$30*IF($A93&gt;=31,1+'설정'!$C$14*'설정'!$E$30,1)/$D93)^(-'설정'!$C$6),('설정'!$C$30*IF($A93&gt;=31,1+'설정'!$C$14*'설정'!$E$30,1)/$D93)^(-'설정'!$C$7))&gt;('설정'!$C$4+'설정'!$F$30),"실패",ROUND($E93*'설정'!$C$5*IF(('설정'!$C$30*IF($A93&gt;=31,1+'설정'!$C$14*'설정'!$E$30,1)/$D93)&lt;1,('설정'!$C$30*IF($A93&gt;=31,1+'설정'!$C$14*'설정'!$E$30,1)/$D93)^(-'설정'!$C$6),('설정'!$C$30*IF($A93&gt;=31,1+'설정'!$C$14*'설정'!$E$30,1)/$D93)^(-'설정'!$C$7)),0))</f>
        <v/>
      </c>
      <c r="Q93" s="8">
        <f>IF($E93*'설정'!$C$5*IF(('설정'!$C$31*IF($A93&gt;=31,1+'설정'!$C$14*'설정'!$E$31,1)/$D93)&lt;1,('설정'!$C$31*IF($A93&gt;=31,1+'설정'!$C$14*'설정'!$E$31,1)/$D93)^(-'설정'!$C$6),('설정'!$C$31*IF($A93&gt;=31,1+'설정'!$C$14*'설정'!$E$31,1)/$D93)^(-'설정'!$C$7))&gt;('설정'!$C$4+'설정'!$F$31),"실패",ROUND($E93*'설정'!$C$5*IF(('설정'!$C$31*IF($A93&gt;=31,1+'설정'!$C$14*'설정'!$E$31,1)/$D93)&lt;1,('설정'!$C$31*IF($A93&gt;=31,1+'설정'!$C$14*'설정'!$E$31,1)/$D93)^(-'설정'!$C$6),('설정'!$C$31*IF($A93&gt;=31,1+'설정'!$C$14*'설정'!$E$31,1)/$D93)^(-'설정'!$C$7)),0))</f>
        <v/>
      </c>
      <c r="R93" s="8">
        <f>IF($E93*'설정'!$C$5*IF(('설정'!$C$32*IF($A93&gt;=31,1+'설정'!$C$14*'설정'!$E$32,1)/$D93)&lt;1,('설정'!$C$32*IF($A93&gt;=31,1+'설정'!$C$14*'설정'!$E$32,1)/$D93)^(-'설정'!$C$6),('설정'!$C$32*IF($A93&gt;=31,1+'설정'!$C$14*'설정'!$E$32,1)/$D93)^(-'설정'!$C$7))&gt;('설정'!$C$4+'설정'!$F$32),"실패",ROUND($E93*'설정'!$C$5*IF(('설정'!$C$32*IF($A93&gt;=31,1+'설정'!$C$14*'설정'!$E$32,1)/$D93)&lt;1,('설정'!$C$32*IF($A93&gt;=31,1+'설정'!$C$14*'설정'!$E$32,1)/$D93)^(-'설정'!$C$6),('설정'!$C$32*IF($A93&gt;=31,1+'설정'!$C$14*'설정'!$E$32,1)/$D93)^(-'설정'!$C$7)),0))</f>
        <v/>
      </c>
      <c r="S93" s="8">
        <f>IF($E93*'설정'!$C$5*IF(('설정'!$C$33*IF($A93&gt;=31,1+'설정'!$C$14*'설정'!$E$33,1)/$D93)&lt;1,('설정'!$C$33*IF($A93&gt;=31,1+'설정'!$C$14*'설정'!$E$33,1)/$D93)^(-'설정'!$C$6),('설정'!$C$33*IF($A93&gt;=31,1+'설정'!$C$14*'설정'!$E$33,1)/$D93)^(-'설정'!$C$7))&gt;('설정'!$C$4+'설정'!$F$33),"실패",ROUND($E93*'설정'!$C$5*IF(('설정'!$C$33*IF($A93&gt;=31,1+'설정'!$C$14*'설정'!$E$33,1)/$D93)&lt;1,('설정'!$C$33*IF($A93&gt;=31,1+'설정'!$C$14*'설정'!$E$33,1)/$D93)^(-'설정'!$C$6),('설정'!$C$33*IF($A93&gt;=31,1+'설정'!$C$14*'설정'!$E$33,1)/$D93)^(-'설정'!$C$7)),0))</f>
        <v/>
      </c>
      <c r="T93" s="8">
        <f>IF($E93*'설정'!$C$5*IF(('설정'!$C$34*IF($A93&gt;=31,1+'설정'!$C$14*'설정'!$E$34,1)/$D93)&lt;1,('설정'!$C$34*IF($A93&gt;=31,1+'설정'!$C$14*'설정'!$E$34,1)/$D93)^(-'설정'!$C$6),('설정'!$C$34*IF($A93&gt;=31,1+'설정'!$C$14*'설정'!$E$34,1)/$D93)^(-'설정'!$C$7))&gt;('설정'!$C$4+'설정'!$F$34),"실패",ROUND($E93*'설정'!$C$5*IF(('설정'!$C$34*IF($A93&gt;=31,1+'설정'!$C$14*'설정'!$E$34,1)/$D93)&lt;1,('설정'!$C$34*IF($A93&gt;=31,1+'설정'!$C$14*'설정'!$E$34,1)/$D93)^(-'설정'!$C$6),('설정'!$C$34*IF($A93&gt;=31,1+'설정'!$C$14*'설정'!$E$34,1)/$D93)^(-'설정'!$C$7)),0))</f>
        <v/>
      </c>
      <c r="U93" s="8">
        <f>IF($E93*'설정'!$C$5*IF(('설정'!$C$35*IF($A93&gt;=31,1+'설정'!$C$14*'설정'!$E$35,1)/$D93)&lt;1,('설정'!$C$35*IF($A93&gt;=31,1+'설정'!$C$14*'설정'!$E$35,1)/$D93)^(-'설정'!$C$6),('설정'!$C$35*IF($A93&gt;=31,1+'설정'!$C$14*'설정'!$E$35,1)/$D93)^(-'설정'!$C$7))&gt;('설정'!$C$4+'설정'!$F$35),"실패",ROUND($E93*'설정'!$C$5*IF(('설정'!$C$35*IF($A93&gt;=31,1+'설정'!$C$14*'설정'!$E$35,1)/$D93)&lt;1,('설정'!$C$35*IF($A93&gt;=31,1+'설정'!$C$14*'설정'!$E$35,1)/$D93)^(-'설정'!$C$6),('설정'!$C$35*IF($A93&gt;=31,1+'설정'!$C$14*'설정'!$E$35,1)/$D93)^(-'설정'!$C$7)),0))</f>
        <v/>
      </c>
      <c r="V93" s="8">
        <f>IF($E93*'설정'!$C$5*IF(('설정'!$C$36*IF($A93&gt;=31,1+'설정'!$C$14*'설정'!$E$36,1)/$D93)&lt;1,('설정'!$C$36*IF($A93&gt;=31,1+'설정'!$C$14*'설정'!$E$36,1)/$D93)^(-'설정'!$C$6),('설정'!$C$36*IF($A93&gt;=31,1+'설정'!$C$14*'설정'!$E$36,1)/$D93)^(-'설정'!$C$7))&gt;('설정'!$C$4+'설정'!$F$36),"실패",ROUND($E93*'설정'!$C$5*IF(('설정'!$C$36*IF($A93&gt;=31,1+'설정'!$C$14*'설정'!$E$36,1)/$D93)&lt;1,('설정'!$C$36*IF($A93&gt;=31,1+'설정'!$C$14*'설정'!$E$36,1)/$D93)^(-'설정'!$C$6),('설정'!$C$36*IF($A93&gt;=31,1+'설정'!$C$14*'설정'!$E$36,1)/$D93)^(-'설정'!$C$7)),0))</f>
        <v/>
      </c>
      <c r="W93" s="8">
        <f>IF($E93*'설정'!$C$5*IF(('설정'!$C$37*IF($A93&gt;=31,1+'설정'!$C$14*'설정'!$E$37,1)/$D93)&lt;1,('설정'!$C$37*IF($A93&gt;=31,1+'설정'!$C$14*'설정'!$E$37,1)/$D93)^(-'설정'!$C$6),('설정'!$C$37*IF($A93&gt;=31,1+'설정'!$C$14*'설정'!$E$37,1)/$D93)^(-'설정'!$C$7))&gt;('설정'!$C$4+'설정'!$F$37),"실패",ROUND($E93*'설정'!$C$5*IF(('설정'!$C$37*IF($A93&gt;=31,1+'설정'!$C$14*'설정'!$E$37,1)/$D93)&lt;1,('설정'!$C$37*IF($A93&gt;=31,1+'설정'!$C$14*'설정'!$E$37,1)/$D93)^(-'설정'!$C$6),('설정'!$C$37*IF($A93&gt;=31,1+'설정'!$C$14*'설정'!$E$37,1)/$D93)^(-'설정'!$C$7)),0))</f>
        <v/>
      </c>
    </row>
    <row r="94">
      <c r="A94" t="n">
        <v>92</v>
      </c>
      <c r="B94" t="inlineStr">
        <is>
          <t>쉬움</t>
        </is>
      </c>
      <c r="C94" t="inlineStr"/>
      <c r="D94" s="6" t="n">
        <v>32900000</v>
      </c>
      <c r="E94" t="n">
        <v>72</v>
      </c>
      <c r="F94" s="6" t="n">
        <v>659000</v>
      </c>
      <c r="G94" t="n">
        <v>91</v>
      </c>
      <c r="H94" s="8">
        <f>IF($E94*'설정'!$C$5*IF(('설정'!$C$22*IF($A94&gt;=31,1+'설정'!$C$14*'설정'!$E$22,1)/$D94)&lt;1,('설정'!$C$22*IF($A94&gt;=31,1+'설정'!$C$14*'설정'!$E$22,1)/$D94)^(-'설정'!$C$6),('설정'!$C$22*IF($A94&gt;=31,1+'설정'!$C$14*'설정'!$E$22,1)/$D94)^(-'설정'!$C$7))&gt;('설정'!$C$4+'설정'!$F$22),"실패",ROUND($E94*'설정'!$C$5*IF(('설정'!$C$22*IF($A94&gt;=31,1+'설정'!$C$14*'설정'!$E$22,1)/$D94)&lt;1,('설정'!$C$22*IF($A94&gt;=31,1+'설정'!$C$14*'설정'!$E$22,1)/$D94)^(-'설정'!$C$6),('설정'!$C$22*IF($A94&gt;=31,1+'설정'!$C$14*'설정'!$E$22,1)/$D94)^(-'설정'!$C$7)),0))</f>
        <v/>
      </c>
      <c r="I94" s="8">
        <f>IF($E94*'설정'!$C$5*IF(('설정'!$C$23*IF($A94&gt;=31,1+'설정'!$C$14*'설정'!$E$23,1)/$D94)&lt;1,('설정'!$C$23*IF($A94&gt;=31,1+'설정'!$C$14*'설정'!$E$23,1)/$D94)^(-'설정'!$C$6),('설정'!$C$23*IF($A94&gt;=31,1+'설정'!$C$14*'설정'!$E$23,1)/$D94)^(-'설정'!$C$7))&gt;('설정'!$C$4+'설정'!$F$23),"실패",ROUND($E94*'설정'!$C$5*IF(('설정'!$C$23*IF($A94&gt;=31,1+'설정'!$C$14*'설정'!$E$23,1)/$D94)&lt;1,('설정'!$C$23*IF($A94&gt;=31,1+'설정'!$C$14*'설정'!$E$23,1)/$D94)^(-'설정'!$C$6),('설정'!$C$23*IF($A94&gt;=31,1+'설정'!$C$14*'설정'!$E$23,1)/$D94)^(-'설정'!$C$7)),0))</f>
        <v/>
      </c>
      <c r="J94" s="8">
        <f>IF($E94*'설정'!$C$5*IF(('설정'!$C$24*IF($A94&gt;=31,1+'설정'!$C$14*'설정'!$E$24,1)/$D94)&lt;1,('설정'!$C$24*IF($A94&gt;=31,1+'설정'!$C$14*'설정'!$E$24,1)/$D94)^(-'설정'!$C$6),('설정'!$C$24*IF($A94&gt;=31,1+'설정'!$C$14*'설정'!$E$24,1)/$D94)^(-'설정'!$C$7))&gt;('설정'!$C$4+'설정'!$F$24),"실패",ROUND($E94*'설정'!$C$5*IF(('설정'!$C$24*IF($A94&gt;=31,1+'설정'!$C$14*'설정'!$E$24,1)/$D94)&lt;1,('설정'!$C$24*IF($A94&gt;=31,1+'설정'!$C$14*'설정'!$E$24,1)/$D94)^(-'설정'!$C$6),('설정'!$C$24*IF($A94&gt;=31,1+'설정'!$C$14*'설정'!$E$24,1)/$D94)^(-'설정'!$C$7)),0))</f>
        <v/>
      </c>
      <c r="K94" s="8">
        <f>IF($E94*'설정'!$C$5*IF(('설정'!$C$25*IF($A94&gt;=31,1+'설정'!$C$14*'설정'!$E$25,1)/$D94)&lt;1,('설정'!$C$25*IF($A94&gt;=31,1+'설정'!$C$14*'설정'!$E$25,1)/$D94)^(-'설정'!$C$6),('설정'!$C$25*IF($A94&gt;=31,1+'설정'!$C$14*'설정'!$E$25,1)/$D94)^(-'설정'!$C$7))&gt;('설정'!$C$4+'설정'!$F$25),"실패",ROUND($E94*'설정'!$C$5*IF(('설정'!$C$25*IF($A94&gt;=31,1+'설정'!$C$14*'설정'!$E$25,1)/$D94)&lt;1,('설정'!$C$25*IF($A94&gt;=31,1+'설정'!$C$14*'설정'!$E$25,1)/$D94)^(-'설정'!$C$6),('설정'!$C$25*IF($A94&gt;=31,1+'설정'!$C$14*'설정'!$E$25,1)/$D94)^(-'설정'!$C$7)),0))</f>
        <v/>
      </c>
      <c r="L94" s="8">
        <f>IF($E94*'설정'!$C$5*IF(('설정'!$C$26*IF($A94&gt;=31,1+'설정'!$C$14*'설정'!$E$26,1)/$D94)&lt;1,('설정'!$C$26*IF($A94&gt;=31,1+'설정'!$C$14*'설정'!$E$26,1)/$D94)^(-'설정'!$C$6),('설정'!$C$26*IF($A94&gt;=31,1+'설정'!$C$14*'설정'!$E$26,1)/$D94)^(-'설정'!$C$7))&gt;('설정'!$C$4+'설정'!$F$26),"실패",ROUND($E94*'설정'!$C$5*IF(('설정'!$C$26*IF($A94&gt;=31,1+'설정'!$C$14*'설정'!$E$26,1)/$D94)&lt;1,('설정'!$C$26*IF($A94&gt;=31,1+'설정'!$C$14*'설정'!$E$26,1)/$D94)^(-'설정'!$C$6),('설정'!$C$26*IF($A94&gt;=31,1+'설정'!$C$14*'설정'!$E$26,1)/$D94)^(-'설정'!$C$7)),0))</f>
        <v/>
      </c>
      <c r="M94" s="8">
        <f>IF($E94*'설정'!$C$5*IF(('설정'!$C$27*IF($A94&gt;=31,1+'설정'!$C$14*'설정'!$E$27,1)/$D94)&lt;1,('설정'!$C$27*IF($A94&gt;=31,1+'설정'!$C$14*'설정'!$E$27,1)/$D94)^(-'설정'!$C$6),('설정'!$C$27*IF($A94&gt;=31,1+'설정'!$C$14*'설정'!$E$27,1)/$D94)^(-'설정'!$C$7))&gt;('설정'!$C$4+'설정'!$F$27),"실패",ROUND($E94*'설정'!$C$5*IF(('설정'!$C$27*IF($A94&gt;=31,1+'설정'!$C$14*'설정'!$E$27,1)/$D94)&lt;1,('설정'!$C$27*IF($A94&gt;=31,1+'설정'!$C$14*'설정'!$E$27,1)/$D94)^(-'설정'!$C$6),('설정'!$C$27*IF($A94&gt;=31,1+'설정'!$C$14*'설정'!$E$27,1)/$D94)^(-'설정'!$C$7)),0))</f>
        <v/>
      </c>
      <c r="N94" s="8">
        <f>IF($E94*'설정'!$C$5*IF(('설정'!$C$28*IF($A94&gt;=31,1+'설정'!$C$14*'설정'!$E$28,1)/$D94)&lt;1,('설정'!$C$28*IF($A94&gt;=31,1+'설정'!$C$14*'설정'!$E$28,1)/$D94)^(-'설정'!$C$6),('설정'!$C$28*IF($A94&gt;=31,1+'설정'!$C$14*'설정'!$E$28,1)/$D94)^(-'설정'!$C$7))&gt;('설정'!$C$4+'설정'!$F$28),"실패",ROUND($E94*'설정'!$C$5*IF(('설정'!$C$28*IF($A94&gt;=31,1+'설정'!$C$14*'설정'!$E$28,1)/$D94)&lt;1,('설정'!$C$28*IF($A94&gt;=31,1+'설정'!$C$14*'설정'!$E$28,1)/$D94)^(-'설정'!$C$6),('설정'!$C$28*IF($A94&gt;=31,1+'설정'!$C$14*'설정'!$E$28,1)/$D94)^(-'설정'!$C$7)),0))</f>
        <v/>
      </c>
      <c r="O94" s="8">
        <f>IF($E94*'설정'!$C$5*IF(('설정'!$C$29*IF($A94&gt;=31,1+'설정'!$C$14*'설정'!$E$29,1)/$D94)&lt;1,('설정'!$C$29*IF($A94&gt;=31,1+'설정'!$C$14*'설정'!$E$29,1)/$D94)^(-'설정'!$C$6),('설정'!$C$29*IF($A94&gt;=31,1+'설정'!$C$14*'설정'!$E$29,1)/$D94)^(-'설정'!$C$7))&gt;('설정'!$C$4+'설정'!$F$29),"실패",ROUND($E94*'설정'!$C$5*IF(('설정'!$C$29*IF($A94&gt;=31,1+'설정'!$C$14*'설정'!$E$29,1)/$D94)&lt;1,('설정'!$C$29*IF($A94&gt;=31,1+'설정'!$C$14*'설정'!$E$29,1)/$D94)^(-'설정'!$C$6),('설정'!$C$29*IF($A94&gt;=31,1+'설정'!$C$14*'설정'!$E$29,1)/$D94)^(-'설정'!$C$7)),0))</f>
        <v/>
      </c>
      <c r="P94" s="8">
        <f>IF($E94*'설정'!$C$5*IF(('설정'!$C$30*IF($A94&gt;=31,1+'설정'!$C$14*'설정'!$E$30,1)/$D94)&lt;1,('설정'!$C$30*IF($A94&gt;=31,1+'설정'!$C$14*'설정'!$E$30,1)/$D94)^(-'설정'!$C$6),('설정'!$C$30*IF($A94&gt;=31,1+'설정'!$C$14*'설정'!$E$30,1)/$D94)^(-'설정'!$C$7))&gt;('설정'!$C$4+'설정'!$F$30),"실패",ROUND($E94*'설정'!$C$5*IF(('설정'!$C$30*IF($A94&gt;=31,1+'설정'!$C$14*'설정'!$E$30,1)/$D94)&lt;1,('설정'!$C$30*IF($A94&gt;=31,1+'설정'!$C$14*'설정'!$E$30,1)/$D94)^(-'설정'!$C$6),('설정'!$C$30*IF($A94&gt;=31,1+'설정'!$C$14*'설정'!$E$30,1)/$D94)^(-'설정'!$C$7)),0))</f>
        <v/>
      </c>
      <c r="Q94" s="8">
        <f>IF($E94*'설정'!$C$5*IF(('설정'!$C$31*IF($A94&gt;=31,1+'설정'!$C$14*'설정'!$E$31,1)/$D94)&lt;1,('설정'!$C$31*IF($A94&gt;=31,1+'설정'!$C$14*'설정'!$E$31,1)/$D94)^(-'설정'!$C$6),('설정'!$C$31*IF($A94&gt;=31,1+'설정'!$C$14*'설정'!$E$31,1)/$D94)^(-'설정'!$C$7))&gt;('설정'!$C$4+'설정'!$F$31),"실패",ROUND($E94*'설정'!$C$5*IF(('설정'!$C$31*IF($A94&gt;=31,1+'설정'!$C$14*'설정'!$E$31,1)/$D94)&lt;1,('설정'!$C$31*IF($A94&gt;=31,1+'설정'!$C$14*'설정'!$E$31,1)/$D94)^(-'설정'!$C$6),('설정'!$C$31*IF($A94&gt;=31,1+'설정'!$C$14*'설정'!$E$31,1)/$D94)^(-'설정'!$C$7)),0))</f>
        <v/>
      </c>
      <c r="R94" s="8">
        <f>IF($E94*'설정'!$C$5*IF(('설정'!$C$32*IF($A94&gt;=31,1+'설정'!$C$14*'설정'!$E$32,1)/$D94)&lt;1,('설정'!$C$32*IF($A94&gt;=31,1+'설정'!$C$14*'설정'!$E$32,1)/$D94)^(-'설정'!$C$6),('설정'!$C$32*IF($A94&gt;=31,1+'설정'!$C$14*'설정'!$E$32,1)/$D94)^(-'설정'!$C$7))&gt;('설정'!$C$4+'설정'!$F$32),"실패",ROUND($E94*'설정'!$C$5*IF(('설정'!$C$32*IF($A94&gt;=31,1+'설정'!$C$14*'설정'!$E$32,1)/$D94)&lt;1,('설정'!$C$32*IF($A94&gt;=31,1+'설정'!$C$14*'설정'!$E$32,1)/$D94)^(-'설정'!$C$6),('설정'!$C$32*IF($A94&gt;=31,1+'설정'!$C$14*'설정'!$E$32,1)/$D94)^(-'설정'!$C$7)),0))</f>
        <v/>
      </c>
      <c r="S94" s="8">
        <f>IF($E94*'설정'!$C$5*IF(('설정'!$C$33*IF($A94&gt;=31,1+'설정'!$C$14*'설정'!$E$33,1)/$D94)&lt;1,('설정'!$C$33*IF($A94&gt;=31,1+'설정'!$C$14*'설정'!$E$33,1)/$D94)^(-'설정'!$C$6),('설정'!$C$33*IF($A94&gt;=31,1+'설정'!$C$14*'설정'!$E$33,1)/$D94)^(-'설정'!$C$7))&gt;('설정'!$C$4+'설정'!$F$33),"실패",ROUND($E94*'설정'!$C$5*IF(('설정'!$C$33*IF($A94&gt;=31,1+'설정'!$C$14*'설정'!$E$33,1)/$D94)&lt;1,('설정'!$C$33*IF($A94&gt;=31,1+'설정'!$C$14*'설정'!$E$33,1)/$D94)^(-'설정'!$C$6),('설정'!$C$33*IF($A94&gt;=31,1+'설정'!$C$14*'설정'!$E$33,1)/$D94)^(-'설정'!$C$7)),0))</f>
        <v/>
      </c>
      <c r="T94" s="8">
        <f>IF($E94*'설정'!$C$5*IF(('설정'!$C$34*IF($A94&gt;=31,1+'설정'!$C$14*'설정'!$E$34,1)/$D94)&lt;1,('설정'!$C$34*IF($A94&gt;=31,1+'설정'!$C$14*'설정'!$E$34,1)/$D94)^(-'설정'!$C$6),('설정'!$C$34*IF($A94&gt;=31,1+'설정'!$C$14*'설정'!$E$34,1)/$D94)^(-'설정'!$C$7))&gt;('설정'!$C$4+'설정'!$F$34),"실패",ROUND($E94*'설정'!$C$5*IF(('설정'!$C$34*IF($A94&gt;=31,1+'설정'!$C$14*'설정'!$E$34,1)/$D94)&lt;1,('설정'!$C$34*IF($A94&gt;=31,1+'설정'!$C$14*'설정'!$E$34,1)/$D94)^(-'설정'!$C$6),('설정'!$C$34*IF($A94&gt;=31,1+'설정'!$C$14*'설정'!$E$34,1)/$D94)^(-'설정'!$C$7)),0))</f>
        <v/>
      </c>
      <c r="U94" s="8">
        <f>IF($E94*'설정'!$C$5*IF(('설정'!$C$35*IF($A94&gt;=31,1+'설정'!$C$14*'설정'!$E$35,1)/$D94)&lt;1,('설정'!$C$35*IF($A94&gt;=31,1+'설정'!$C$14*'설정'!$E$35,1)/$D94)^(-'설정'!$C$6),('설정'!$C$35*IF($A94&gt;=31,1+'설정'!$C$14*'설정'!$E$35,1)/$D94)^(-'설정'!$C$7))&gt;('설정'!$C$4+'설정'!$F$35),"실패",ROUND($E94*'설정'!$C$5*IF(('설정'!$C$35*IF($A94&gt;=31,1+'설정'!$C$14*'설정'!$E$35,1)/$D94)&lt;1,('설정'!$C$35*IF($A94&gt;=31,1+'설정'!$C$14*'설정'!$E$35,1)/$D94)^(-'설정'!$C$6),('설정'!$C$35*IF($A94&gt;=31,1+'설정'!$C$14*'설정'!$E$35,1)/$D94)^(-'설정'!$C$7)),0))</f>
        <v/>
      </c>
      <c r="V94" s="8">
        <f>IF($E94*'설정'!$C$5*IF(('설정'!$C$36*IF($A94&gt;=31,1+'설정'!$C$14*'설정'!$E$36,1)/$D94)&lt;1,('설정'!$C$36*IF($A94&gt;=31,1+'설정'!$C$14*'설정'!$E$36,1)/$D94)^(-'설정'!$C$6),('설정'!$C$36*IF($A94&gt;=31,1+'설정'!$C$14*'설정'!$E$36,1)/$D94)^(-'설정'!$C$7))&gt;('설정'!$C$4+'설정'!$F$36),"실패",ROUND($E94*'설정'!$C$5*IF(('설정'!$C$36*IF($A94&gt;=31,1+'설정'!$C$14*'설정'!$E$36,1)/$D94)&lt;1,('설정'!$C$36*IF($A94&gt;=31,1+'설정'!$C$14*'설정'!$E$36,1)/$D94)^(-'설정'!$C$6),('설정'!$C$36*IF($A94&gt;=31,1+'설정'!$C$14*'설정'!$E$36,1)/$D94)^(-'설정'!$C$7)),0))</f>
        <v/>
      </c>
      <c r="W94" s="8">
        <f>IF($E94*'설정'!$C$5*IF(('설정'!$C$37*IF($A94&gt;=31,1+'설정'!$C$14*'설정'!$E$37,1)/$D94)&lt;1,('설정'!$C$37*IF($A94&gt;=31,1+'설정'!$C$14*'설정'!$E$37,1)/$D94)^(-'설정'!$C$6),('설정'!$C$37*IF($A94&gt;=31,1+'설정'!$C$14*'설정'!$E$37,1)/$D94)^(-'설정'!$C$7))&gt;('설정'!$C$4+'설정'!$F$37),"실패",ROUND($E94*'설정'!$C$5*IF(('설정'!$C$37*IF($A94&gt;=31,1+'설정'!$C$14*'설정'!$E$37,1)/$D94)&lt;1,('설정'!$C$37*IF($A94&gt;=31,1+'설정'!$C$14*'설정'!$E$37,1)/$D94)^(-'설정'!$C$6),('설정'!$C$37*IF($A94&gt;=31,1+'설정'!$C$14*'설정'!$E$37,1)/$D94)^(-'설정'!$C$7)),0))</f>
        <v/>
      </c>
    </row>
    <row r="95">
      <c r="A95" t="n">
        <v>93</v>
      </c>
      <c r="B95" t="inlineStr">
        <is>
          <t>보통</t>
        </is>
      </c>
      <c r="C95" t="inlineStr"/>
      <c r="D95" s="6" t="n">
        <v>34200000</v>
      </c>
      <c r="E95" t="n">
        <v>72</v>
      </c>
      <c r="F95" s="6" t="n">
        <v>684000</v>
      </c>
      <c r="G95" t="n">
        <v>91</v>
      </c>
      <c r="H95" s="8">
        <f>IF($E95*'설정'!$C$5*IF(('설정'!$C$22*IF($A95&gt;=31,1+'설정'!$C$14*'설정'!$E$22,1)/$D95)&lt;1,('설정'!$C$22*IF($A95&gt;=31,1+'설정'!$C$14*'설정'!$E$22,1)/$D95)^(-'설정'!$C$6),('설정'!$C$22*IF($A95&gt;=31,1+'설정'!$C$14*'설정'!$E$22,1)/$D95)^(-'설정'!$C$7))&gt;('설정'!$C$4+'설정'!$F$22),"실패",ROUND($E95*'설정'!$C$5*IF(('설정'!$C$22*IF($A95&gt;=31,1+'설정'!$C$14*'설정'!$E$22,1)/$D95)&lt;1,('설정'!$C$22*IF($A95&gt;=31,1+'설정'!$C$14*'설정'!$E$22,1)/$D95)^(-'설정'!$C$6),('설정'!$C$22*IF($A95&gt;=31,1+'설정'!$C$14*'설정'!$E$22,1)/$D95)^(-'설정'!$C$7)),0))</f>
        <v/>
      </c>
      <c r="I95" s="8">
        <f>IF($E95*'설정'!$C$5*IF(('설정'!$C$23*IF($A95&gt;=31,1+'설정'!$C$14*'설정'!$E$23,1)/$D95)&lt;1,('설정'!$C$23*IF($A95&gt;=31,1+'설정'!$C$14*'설정'!$E$23,1)/$D95)^(-'설정'!$C$6),('설정'!$C$23*IF($A95&gt;=31,1+'설정'!$C$14*'설정'!$E$23,1)/$D95)^(-'설정'!$C$7))&gt;('설정'!$C$4+'설정'!$F$23),"실패",ROUND($E95*'설정'!$C$5*IF(('설정'!$C$23*IF($A95&gt;=31,1+'설정'!$C$14*'설정'!$E$23,1)/$D95)&lt;1,('설정'!$C$23*IF($A95&gt;=31,1+'설정'!$C$14*'설정'!$E$23,1)/$D95)^(-'설정'!$C$6),('설정'!$C$23*IF($A95&gt;=31,1+'설정'!$C$14*'설정'!$E$23,1)/$D95)^(-'설정'!$C$7)),0))</f>
        <v/>
      </c>
      <c r="J95" s="8">
        <f>IF($E95*'설정'!$C$5*IF(('설정'!$C$24*IF($A95&gt;=31,1+'설정'!$C$14*'설정'!$E$24,1)/$D95)&lt;1,('설정'!$C$24*IF($A95&gt;=31,1+'설정'!$C$14*'설정'!$E$24,1)/$D95)^(-'설정'!$C$6),('설정'!$C$24*IF($A95&gt;=31,1+'설정'!$C$14*'설정'!$E$24,1)/$D95)^(-'설정'!$C$7))&gt;('설정'!$C$4+'설정'!$F$24),"실패",ROUND($E95*'설정'!$C$5*IF(('설정'!$C$24*IF($A95&gt;=31,1+'설정'!$C$14*'설정'!$E$24,1)/$D95)&lt;1,('설정'!$C$24*IF($A95&gt;=31,1+'설정'!$C$14*'설정'!$E$24,1)/$D95)^(-'설정'!$C$6),('설정'!$C$24*IF($A95&gt;=31,1+'설정'!$C$14*'설정'!$E$24,1)/$D95)^(-'설정'!$C$7)),0))</f>
        <v/>
      </c>
      <c r="K95" s="8">
        <f>IF($E95*'설정'!$C$5*IF(('설정'!$C$25*IF($A95&gt;=31,1+'설정'!$C$14*'설정'!$E$25,1)/$D95)&lt;1,('설정'!$C$25*IF($A95&gt;=31,1+'설정'!$C$14*'설정'!$E$25,1)/$D95)^(-'설정'!$C$6),('설정'!$C$25*IF($A95&gt;=31,1+'설정'!$C$14*'설정'!$E$25,1)/$D95)^(-'설정'!$C$7))&gt;('설정'!$C$4+'설정'!$F$25),"실패",ROUND($E95*'설정'!$C$5*IF(('설정'!$C$25*IF($A95&gt;=31,1+'설정'!$C$14*'설정'!$E$25,1)/$D95)&lt;1,('설정'!$C$25*IF($A95&gt;=31,1+'설정'!$C$14*'설정'!$E$25,1)/$D95)^(-'설정'!$C$6),('설정'!$C$25*IF($A95&gt;=31,1+'설정'!$C$14*'설정'!$E$25,1)/$D95)^(-'설정'!$C$7)),0))</f>
        <v/>
      </c>
      <c r="L95" s="8">
        <f>IF($E95*'설정'!$C$5*IF(('설정'!$C$26*IF($A95&gt;=31,1+'설정'!$C$14*'설정'!$E$26,1)/$D95)&lt;1,('설정'!$C$26*IF($A95&gt;=31,1+'설정'!$C$14*'설정'!$E$26,1)/$D95)^(-'설정'!$C$6),('설정'!$C$26*IF($A95&gt;=31,1+'설정'!$C$14*'설정'!$E$26,1)/$D95)^(-'설정'!$C$7))&gt;('설정'!$C$4+'설정'!$F$26),"실패",ROUND($E95*'설정'!$C$5*IF(('설정'!$C$26*IF($A95&gt;=31,1+'설정'!$C$14*'설정'!$E$26,1)/$D95)&lt;1,('설정'!$C$26*IF($A95&gt;=31,1+'설정'!$C$14*'설정'!$E$26,1)/$D95)^(-'설정'!$C$6),('설정'!$C$26*IF($A95&gt;=31,1+'설정'!$C$14*'설정'!$E$26,1)/$D95)^(-'설정'!$C$7)),0))</f>
        <v/>
      </c>
      <c r="M95" s="8">
        <f>IF($E95*'설정'!$C$5*IF(('설정'!$C$27*IF($A95&gt;=31,1+'설정'!$C$14*'설정'!$E$27,1)/$D95)&lt;1,('설정'!$C$27*IF($A95&gt;=31,1+'설정'!$C$14*'설정'!$E$27,1)/$D95)^(-'설정'!$C$6),('설정'!$C$27*IF($A95&gt;=31,1+'설정'!$C$14*'설정'!$E$27,1)/$D95)^(-'설정'!$C$7))&gt;('설정'!$C$4+'설정'!$F$27),"실패",ROUND($E95*'설정'!$C$5*IF(('설정'!$C$27*IF($A95&gt;=31,1+'설정'!$C$14*'설정'!$E$27,1)/$D95)&lt;1,('설정'!$C$27*IF($A95&gt;=31,1+'설정'!$C$14*'설정'!$E$27,1)/$D95)^(-'설정'!$C$6),('설정'!$C$27*IF($A95&gt;=31,1+'설정'!$C$14*'설정'!$E$27,1)/$D95)^(-'설정'!$C$7)),0))</f>
        <v/>
      </c>
      <c r="N95" s="8">
        <f>IF($E95*'설정'!$C$5*IF(('설정'!$C$28*IF($A95&gt;=31,1+'설정'!$C$14*'설정'!$E$28,1)/$D95)&lt;1,('설정'!$C$28*IF($A95&gt;=31,1+'설정'!$C$14*'설정'!$E$28,1)/$D95)^(-'설정'!$C$6),('설정'!$C$28*IF($A95&gt;=31,1+'설정'!$C$14*'설정'!$E$28,1)/$D95)^(-'설정'!$C$7))&gt;('설정'!$C$4+'설정'!$F$28),"실패",ROUND($E95*'설정'!$C$5*IF(('설정'!$C$28*IF($A95&gt;=31,1+'설정'!$C$14*'설정'!$E$28,1)/$D95)&lt;1,('설정'!$C$28*IF($A95&gt;=31,1+'설정'!$C$14*'설정'!$E$28,1)/$D95)^(-'설정'!$C$6),('설정'!$C$28*IF($A95&gt;=31,1+'설정'!$C$14*'설정'!$E$28,1)/$D95)^(-'설정'!$C$7)),0))</f>
        <v/>
      </c>
      <c r="O95" s="8">
        <f>IF($E95*'설정'!$C$5*IF(('설정'!$C$29*IF($A95&gt;=31,1+'설정'!$C$14*'설정'!$E$29,1)/$D95)&lt;1,('설정'!$C$29*IF($A95&gt;=31,1+'설정'!$C$14*'설정'!$E$29,1)/$D95)^(-'설정'!$C$6),('설정'!$C$29*IF($A95&gt;=31,1+'설정'!$C$14*'설정'!$E$29,1)/$D95)^(-'설정'!$C$7))&gt;('설정'!$C$4+'설정'!$F$29),"실패",ROUND($E95*'설정'!$C$5*IF(('설정'!$C$29*IF($A95&gt;=31,1+'설정'!$C$14*'설정'!$E$29,1)/$D95)&lt;1,('설정'!$C$29*IF($A95&gt;=31,1+'설정'!$C$14*'설정'!$E$29,1)/$D95)^(-'설정'!$C$6),('설정'!$C$29*IF($A95&gt;=31,1+'설정'!$C$14*'설정'!$E$29,1)/$D95)^(-'설정'!$C$7)),0))</f>
        <v/>
      </c>
      <c r="P95" s="8">
        <f>IF($E95*'설정'!$C$5*IF(('설정'!$C$30*IF($A95&gt;=31,1+'설정'!$C$14*'설정'!$E$30,1)/$D95)&lt;1,('설정'!$C$30*IF($A95&gt;=31,1+'설정'!$C$14*'설정'!$E$30,1)/$D95)^(-'설정'!$C$6),('설정'!$C$30*IF($A95&gt;=31,1+'설정'!$C$14*'설정'!$E$30,1)/$D95)^(-'설정'!$C$7))&gt;('설정'!$C$4+'설정'!$F$30),"실패",ROUND($E95*'설정'!$C$5*IF(('설정'!$C$30*IF($A95&gt;=31,1+'설정'!$C$14*'설정'!$E$30,1)/$D95)&lt;1,('설정'!$C$30*IF($A95&gt;=31,1+'설정'!$C$14*'설정'!$E$30,1)/$D95)^(-'설정'!$C$6),('설정'!$C$30*IF($A95&gt;=31,1+'설정'!$C$14*'설정'!$E$30,1)/$D95)^(-'설정'!$C$7)),0))</f>
        <v/>
      </c>
      <c r="Q95" s="8">
        <f>IF($E95*'설정'!$C$5*IF(('설정'!$C$31*IF($A95&gt;=31,1+'설정'!$C$14*'설정'!$E$31,1)/$D95)&lt;1,('설정'!$C$31*IF($A95&gt;=31,1+'설정'!$C$14*'설정'!$E$31,1)/$D95)^(-'설정'!$C$6),('설정'!$C$31*IF($A95&gt;=31,1+'설정'!$C$14*'설정'!$E$31,1)/$D95)^(-'설정'!$C$7))&gt;('설정'!$C$4+'설정'!$F$31),"실패",ROUND($E95*'설정'!$C$5*IF(('설정'!$C$31*IF($A95&gt;=31,1+'설정'!$C$14*'설정'!$E$31,1)/$D95)&lt;1,('설정'!$C$31*IF($A95&gt;=31,1+'설정'!$C$14*'설정'!$E$31,1)/$D95)^(-'설정'!$C$6),('설정'!$C$31*IF($A95&gt;=31,1+'설정'!$C$14*'설정'!$E$31,1)/$D95)^(-'설정'!$C$7)),0))</f>
        <v/>
      </c>
      <c r="R95" s="8">
        <f>IF($E95*'설정'!$C$5*IF(('설정'!$C$32*IF($A95&gt;=31,1+'설정'!$C$14*'설정'!$E$32,1)/$D95)&lt;1,('설정'!$C$32*IF($A95&gt;=31,1+'설정'!$C$14*'설정'!$E$32,1)/$D95)^(-'설정'!$C$6),('설정'!$C$32*IF($A95&gt;=31,1+'설정'!$C$14*'설정'!$E$32,1)/$D95)^(-'설정'!$C$7))&gt;('설정'!$C$4+'설정'!$F$32),"실패",ROUND($E95*'설정'!$C$5*IF(('설정'!$C$32*IF($A95&gt;=31,1+'설정'!$C$14*'설정'!$E$32,1)/$D95)&lt;1,('설정'!$C$32*IF($A95&gt;=31,1+'설정'!$C$14*'설정'!$E$32,1)/$D95)^(-'설정'!$C$6),('설정'!$C$32*IF($A95&gt;=31,1+'설정'!$C$14*'설정'!$E$32,1)/$D95)^(-'설정'!$C$7)),0))</f>
        <v/>
      </c>
      <c r="S95" s="8">
        <f>IF($E95*'설정'!$C$5*IF(('설정'!$C$33*IF($A95&gt;=31,1+'설정'!$C$14*'설정'!$E$33,1)/$D95)&lt;1,('설정'!$C$33*IF($A95&gt;=31,1+'설정'!$C$14*'설정'!$E$33,1)/$D95)^(-'설정'!$C$6),('설정'!$C$33*IF($A95&gt;=31,1+'설정'!$C$14*'설정'!$E$33,1)/$D95)^(-'설정'!$C$7))&gt;('설정'!$C$4+'설정'!$F$33),"실패",ROUND($E95*'설정'!$C$5*IF(('설정'!$C$33*IF($A95&gt;=31,1+'설정'!$C$14*'설정'!$E$33,1)/$D95)&lt;1,('설정'!$C$33*IF($A95&gt;=31,1+'설정'!$C$14*'설정'!$E$33,1)/$D95)^(-'설정'!$C$6),('설정'!$C$33*IF($A95&gt;=31,1+'설정'!$C$14*'설정'!$E$33,1)/$D95)^(-'설정'!$C$7)),0))</f>
        <v/>
      </c>
      <c r="T95" s="8">
        <f>IF($E95*'설정'!$C$5*IF(('설정'!$C$34*IF($A95&gt;=31,1+'설정'!$C$14*'설정'!$E$34,1)/$D95)&lt;1,('설정'!$C$34*IF($A95&gt;=31,1+'설정'!$C$14*'설정'!$E$34,1)/$D95)^(-'설정'!$C$6),('설정'!$C$34*IF($A95&gt;=31,1+'설정'!$C$14*'설정'!$E$34,1)/$D95)^(-'설정'!$C$7))&gt;('설정'!$C$4+'설정'!$F$34),"실패",ROUND($E95*'설정'!$C$5*IF(('설정'!$C$34*IF($A95&gt;=31,1+'설정'!$C$14*'설정'!$E$34,1)/$D95)&lt;1,('설정'!$C$34*IF($A95&gt;=31,1+'설정'!$C$14*'설정'!$E$34,1)/$D95)^(-'설정'!$C$6),('설정'!$C$34*IF($A95&gt;=31,1+'설정'!$C$14*'설정'!$E$34,1)/$D95)^(-'설정'!$C$7)),0))</f>
        <v/>
      </c>
      <c r="U95" s="8">
        <f>IF($E95*'설정'!$C$5*IF(('설정'!$C$35*IF($A95&gt;=31,1+'설정'!$C$14*'설정'!$E$35,1)/$D95)&lt;1,('설정'!$C$35*IF($A95&gt;=31,1+'설정'!$C$14*'설정'!$E$35,1)/$D95)^(-'설정'!$C$6),('설정'!$C$35*IF($A95&gt;=31,1+'설정'!$C$14*'설정'!$E$35,1)/$D95)^(-'설정'!$C$7))&gt;('설정'!$C$4+'설정'!$F$35),"실패",ROUND($E95*'설정'!$C$5*IF(('설정'!$C$35*IF($A95&gt;=31,1+'설정'!$C$14*'설정'!$E$35,1)/$D95)&lt;1,('설정'!$C$35*IF($A95&gt;=31,1+'설정'!$C$14*'설정'!$E$35,1)/$D95)^(-'설정'!$C$6),('설정'!$C$35*IF($A95&gt;=31,1+'설정'!$C$14*'설정'!$E$35,1)/$D95)^(-'설정'!$C$7)),0))</f>
        <v/>
      </c>
      <c r="V95" s="8">
        <f>IF($E95*'설정'!$C$5*IF(('설정'!$C$36*IF($A95&gt;=31,1+'설정'!$C$14*'설정'!$E$36,1)/$D95)&lt;1,('설정'!$C$36*IF($A95&gt;=31,1+'설정'!$C$14*'설정'!$E$36,1)/$D95)^(-'설정'!$C$6),('설정'!$C$36*IF($A95&gt;=31,1+'설정'!$C$14*'설정'!$E$36,1)/$D95)^(-'설정'!$C$7))&gt;('설정'!$C$4+'설정'!$F$36),"실패",ROUND($E95*'설정'!$C$5*IF(('설정'!$C$36*IF($A95&gt;=31,1+'설정'!$C$14*'설정'!$E$36,1)/$D95)&lt;1,('설정'!$C$36*IF($A95&gt;=31,1+'설정'!$C$14*'설정'!$E$36,1)/$D95)^(-'설정'!$C$6),('설정'!$C$36*IF($A95&gt;=31,1+'설정'!$C$14*'설정'!$E$36,1)/$D95)^(-'설정'!$C$7)),0))</f>
        <v/>
      </c>
      <c r="W95" s="8">
        <f>IF($E95*'설정'!$C$5*IF(('설정'!$C$37*IF($A95&gt;=31,1+'설정'!$C$14*'설정'!$E$37,1)/$D95)&lt;1,('설정'!$C$37*IF($A95&gt;=31,1+'설정'!$C$14*'설정'!$E$37,1)/$D95)^(-'설정'!$C$6),('설정'!$C$37*IF($A95&gt;=31,1+'설정'!$C$14*'설정'!$E$37,1)/$D95)^(-'설정'!$C$7))&gt;('설정'!$C$4+'설정'!$F$37),"실패",ROUND($E95*'설정'!$C$5*IF(('설정'!$C$37*IF($A95&gt;=31,1+'설정'!$C$14*'설정'!$E$37,1)/$D95)&lt;1,('설정'!$C$37*IF($A95&gt;=31,1+'설정'!$C$14*'설정'!$E$37,1)/$D95)^(-'설정'!$C$6),('설정'!$C$37*IF($A95&gt;=31,1+'설정'!$C$14*'설정'!$E$37,1)/$D95)^(-'설정'!$C$7)),0))</f>
        <v/>
      </c>
    </row>
    <row r="96">
      <c r="A96" t="n">
        <v>94</v>
      </c>
      <c r="B96" t="inlineStr">
        <is>
          <t>어려움</t>
        </is>
      </c>
      <c r="C96" t="inlineStr">
        <is>
          <t>보스</t>
        </is>
      </c>
      <c r="D96" s="6" t="n">
        <v>40900000</v>
      </c>
      <c r="E96" t="n">
        <v>90</v>
      </c>
      <c r="F96" s="6" t="n">
        <v>817000</v>
      </c>
      <c r="G96" t="n">
        <v>91</v>
      </c>
      <c r="H96" s="8">
        <f>IF($E96*'설정'!$C$5*IF(('설정'!$C$22*IF($A96&gt;=31,1+'설정'!$C$14*'설정'!$E$22,1)/$D96)&lt;1,('설정'!$C$22*IF($A96&gt;=31,1+'설정'!$C$14*'설정'!$E$22,1)/$D96)^(-'설정'!$C$6),('설정'!$C$22*IF($A96&gt;=31,1+'설정'!$C$14*'설정'!$E$22,1)/$D96)^(-'설정'!$C$7))&gt;('설정'!$C$4+'설정'!$F$22+'설정'!$G$22),"실패",ROUND($E96*'설정'!$C$5*IF(('설정'!$C$22*IF($A96&gt;=31,1+'설정'!$C$14*'설정'!$E$22,1)/$D96)&lt;1,('설정'!$C$22*IF($A96&gt;=31,1+'설정'!$C$14*'설정'!$E$22,1)/$D96)^(-'설정'!$C$6),('설정'!$C$22*IF($A96&gt;=31,1+'설정'!$C$14*'설정'!$E$22,1)/$D96)^(-'설정'!$C$7)),0))</f>
        <v/>
      </c>
      <c r="I96" s="8">
        <f>IF($E96*'설정'!$C$5*IF(('설정'!$C$23*IF($A96&gt;=31,1+'설정'!$C$14*'설정'!$E$23,1)/$D96)&lt;1,('설정'!$C$23*IF($A96&gt;=31,1+'설정'!$C$14*'설정'!$E$23,1)/$D96)^(-'설정'!$C$6),('설정'!$C$23*IF($A96&gt;=31,1+'설정'!$C$14*'설정'!$E$23,1)/$D96)^(-'설정'!$C$7))&gt;('설정'!$C$4+'설정'!$F$23+'설정'!$G$23),"실패",ROUND($E96*'설정'!$C$5*IF(('설정'!$C$23*IF($A96&gt;=31,1+'설정'!$C$14*'설정'!$E$23,1)/$D96)&lt;1,('설정'!$C$23*IF($A96&gt;=31,1+'설정'!$C$14*'설정'!$E$23,1)/$D96)^(-'설정'!$C$6),('설정'!$C$23*IF($A96&gt;=31,1+'설정'!$C$14*'설정'!$E$23,1)/$D96)^(-'설정'!$C$7)),0))</f>
        <v/>
      </c>
      <c r="J96" s="8">
        <f>IF($E96*'설정'!$C$5*IF(('설정'!$C$24*IF($A96&gt;=31,1+'설정'!$C$14*'설정'!$E$24,1)/$D96)&lt;1,('설정'!$C$24*IF($A96&gt;=31,1+'설정'!$C$14*'설정'!$E$24,1)/$D96)^(-'설정'!$C$6),('설정'!$C$24*IF($A96&gt;=31,1+'설정'!$C$14*'설정'!$E$24,1)/$D96)^(-'설정'!$C$7))&gt;('설정'!$C$4+'설정'!$F$24+'설정'!$G$24),"실패",ROUND($E96*'설정'!$C$5*IF(('설정'!$C$24*IF($A96&gt;=31,1+'설정'!$C$14*'설정'!$E$24,1)/$D96)&lt;1,('설정'!$C$24*IF($A96&gt;=31,1+'설정'!$C$14*'설정'!$E$24,1)/$D96)^(-'설정'!$C$6),('설정'!$C$24*IF($A96&gt;=31,1+'설정'!$C$14*'설정'!$E$24,1)/$D96)^(-'설정'!$C$7)),0))</f>
        <v/>
      </c>
      <c r="K96" s="8">
        <f>IF($E96*'설정'!$C$5*IF(('설정'!$C$25*IF($A96&gt;=31,1+'설정'!$C$14*'설정'!$E$25,1)/$D96)&lt;1,('설정'!$C$25*IF($A96&gt;=31,1+'설정'!$C$14*'설정'!$E$25,1)/$D96)^(-'설정'!$C$6),('설정'!$C$25*IF($A96&gt;=31,1+'설정'!$C$14*'설정'!$E$25,1)/$D96)^(-'설정'!$C$7))&gt;('설정'!$C$4+'설정'!$F$25+'설정'!$G$25),"실패",ROUND($E96*'설정'!$C$5*IF(('설정'!$C$25*IF($A96&gt;=31,1+'설정'!$C$14*'설정'!$E$25,1)/$D96)&lt;1,('설정'!$C$25*IF($A96&gt;=31,1+'설정'!$C$14*'설정'!$E$25,1)/$D96)^(-'설정'!$C$6),('설정'!$C$25*IF($A96&gt;=31,1+'설정'!$C$14*'설정'!$E$25,1)/$D96)^(-'설정'!$C$7)),0))</f>
        <v/>
      </c>
      <c r="L96" s="8">
        <f>IF($E96*'설정'!$C$5*IF(('설정'!$C$26*IF($A96&gt;=31,1+'설정'!$C$14*'설정'!$E$26,1)/$D96)&lt;1,('설정'!$C$26*IF($A96&gt;=31,1+'설정'!$C$14*'설정'!$E$26,1)/$D96)^(-'설정'!$C$6),('설정'!$C$26*IF($A96&gt;=31,1+'설정'!$C$14*'설정'!$E$26,1)/$D96)^(-'설정'!$C$7))&gt;('설정'!$C$4+'설정'!$F$26+'설정'!$G$26),"실패",ROUND($E96*'설정'!$C$5*IF(('설정'!$C$26*IF($A96&gt;=31,1+'설정'!$C$14*'설정'!$E$26,1)/$D96)&lt;1,('설정'!$C$26*IF($A96&gt;=31,1+'설정'!$C$14*'설정'!$E$26,1)/$D96)^(-'설정'!$C$6),('설정'!$C$26*IF($A96&gt;=31,1+'설정'!$C$14*'설정'!$E$26,1)/$D96)^(-'설정'!$C$7)),0))</f>
        <v/>
      </c>
      <c r="M96" s="8">
        <f>IF($E96*'설정'!$C$5*IF(('설정'!$C$27*IF($A96&gt;=31,1+'설정'!$C$14*'설정'!$E$27,1)/$D96)&lt;1,('설정'!$C$27*IF($A96&gt;=31,1+'설정'!$C$14*'설정'!$E$27,1)/$D96)^(-'설정'!$C$6),('설정'!$C$27*IF($A96&gt;=31,1+'설정'!$C$14*'설정'!$E$27,1)/$D96)^(-'설정'!$C$7))&gt;('설정'!$C$4+'설정'!$F$27+'설정'!$G$27),"실패",ROUND($E96*'설정'!$C$5*IF(('설정'!$C$27*IF($A96&gt;=31,1+'설정'!$C$14*'설정'!$E$27,1)/$D96)&lt;1,('설정'!$C$27*IF($A96&gt;=31,1+'설정'!$C$14*'설정'!$E$27,1)/$D96)^(-'설정'!$C$6),('설정'!$C$27*IF($A96&gt;=31,1+'설정'!$C$14*'설정'!$E$27,1)/$D96)^(-'설정'!$C$7)),0))</f>
        <v/>
      </c>
      <c r="N96" s="8">
        <f>IF($E96*'설정'!$C$5*IF(('설정'!$C$28*IF($A96&gt;=31,1+'설정'!$C$14*'설정'!$E$28,1)/$D96)&lt;1,('설정'!$C$28*IF($A96&gt;=31,1+'설정'!$C$14*'설정'!$E$28,1)/$D96)^(-'설정'!$C$6),('설정'!$C$28*IF($A96&gt;=31,1+'설정'!$C$14*'설정'!$E$28,1)/$D96)^(-'설정'!$C$7))&gt;('설정'!$C$4+'설정'!$F$28+'설정'!$G$28),"실패",ROUND($E96*'설정'!$C$5*IF(('설정'!$C$28*IF($A96&gt;=31,1+'설정'!$C$14*'설정'!$E$28,1)/$D96)&lt;1,('설정'!$C$28*IF($A96&gt;=31,1+'설정'!$C$14*'설정'!$E$28,1)/$D96)^(-'설정'!$C$6),('설정'!$C$28*IF($A96&gt;=31,1+'설정'!$C$14*'설정'!$E$28,1)/$D96)^(-'설정'!$C$7)),0))</f>
        <v/>
      </c>
      <c r="O96" s="8">
        <f>IF($E96*'설정'!$C$5*IF(('설정'!$C$29*IF($A96&gt;=31,1+'설정'!$C$14*'설정'!$E$29,1)/$D96)&lt;1,('설정'!$C$29*IF($A96&gt;=31,1+'설정'!$C$14*'설정'!$E$29,1)/$D96)^(-'설정'!$C$6),('설정'!$C$29*IF($A96&gt;=31,1+'설정'!$C$14*'설정'!$E$29,1)/$D96)^(-'설정'!$C$7))&gt;('설정'!$C$4+'설정'!$F$29+'설정'!$G$29),"실패",ROUND($E96*'설정'!$C$5*IF(('설정'!$C$29*IF($A96&gt;=31,1+'설정'!$C$14*'설정'!$E$29,1)/$D96)&lt;1,('설정'!$C$29*IF($A96&gt;=31,1+'설정'!$C$14*'설정'!$E$29,1)/$D96)^(-'설정'!$C$6),('설정'!$C$29*IF($A96&gt;=31,1+'설정'!$C$14*'설정'!$E$29,1)/$D96)^(-'설정'!$C$7)),0))</f>
        <v/>
      </c>
      <c r="P96" s="8">
        <f>IF($E96*'설정'!$C$5*IF(('설정'!$C$30*IF($A96&gt;=31,1+'설정'!$C$14*'설정'!$E$30,1)/$D96)&lt;1,('설정'!$C$30*IF($A96&gt;=31,1+'설정'!$C$14*'설정'!$E$30,1)/$D96)^(-'설정'!$C$6),('설정'!$C$30*IF($A96&gt;=31,1+'설정'!$C$14*'설정'!$E$30,1)/$D96)^(-'설정'!$C$7))&gt;('설정'!$C$4+'설정'!$F$30+'설정'!$G$30),"실패",ROUND($E96*'설정'!$C$5*IF(('설정'!$C$30*IF($A96&gt;=31,1+'설정'!$C$14*'설정'!$E$30,1)/$D96)&lt;1,('설정'!$C$30*IF($A96&gt;=31,1+'설정'!$C$14*'설정'!$E$30,1)/$D96)^(-'설정'!$C$6),('설정'!$C$30*IF($A96&gt;=31,1+'설정'!$C$14*'설정'!$E$30,1)/$D96)^(-'설정'!$C$7)),0))</f>
        <v/>
      </c>
      <c r="Q96" s="8">
        <f>IF($E96*'설정'!$C$5*IF(('설정'!$C$31*IF($A96&gt;=31,1+'설정'!$C$14*'설정'!$E$31,1)/$D96)&lt;1,('설정'!$C$31*IF($A96&gt;=31,1+'설정'!$C$14*'설정'!$E$31,1)/$D96)^(-'설정'!$C$6),('설정'!$C$31*IF($A96&gt;=31,1+'설정'!$C$14*'설정'!$E$31,1)/$D96)^(-'설정'!$C$7))&gt;('설정'!$C$4+'설정'!$F$31+'설정'!$G$31),"실패",ROUND($E96*'설정'!$C$5*IF(('설정'!$C$31*IF($A96&gt;=31,1+'설정'!$C$14*'설정'!$E$31,1)/$D96)&lt;1,('설정'!$C$31*IF($A96&gt;=31,1+'설정'!$C$14*'설정'!$E$31,1)/$D96)^(-'설정'!$C$6),('설정'!$C$31*IF($A96&gt;=31,1+'설정'!$C$14*'설정'!$E$31,1)/$D96)^(-'설정'!$C$7)),0))</f>
        <v/>
      </c>
      <c r="R96" s="8">
        <f>IF($E96*'설정'!$C$5*IF(('설정'!$C$32*IF($A96&gt;=31,1+'설정'!$C$14*'설정'!$E$32,1)/$D96)&lt;1,('설정'!$C$32*IF($A96&gt;=31,1+'설정'!$C$14*'설정'!$E$32,1)/$D96)^(-'설정'!$C$6),('설정'!$C$32*IF($A96&gt;=31,1+'설정'!$C$14*'설정'!$E$32,1)/$D96)^(-'설정'!$C$7))&gt;('설정'!$C$4+'설정'!$F$32+'설정'!$G$32),"실패",ROUND($E96*'설정'!$C$5*IF(('설정'!$C$32*IF($A96&gt;=31,1+'설정'!$C$14*'설정'!$E$32,1)/$D96)&lt;1,('설정'!$C$32*IF($A96&gt;=31,1+'설정'!$C$14*'설정'!$E$32,1)/$D96)^(-'설정'!$C$6),('설정'!$C$32*IF($A96&gt;=31,1+'설정'!$C$14*'설정'!$E$32,1)/$D96)^(-'설정'!$C$7)),0))</f>
        <v/>
      </c>
      <c r="S96" s="8">
        <f>IF($E96*'설정'!$C$5*IF(('설정'!$C$33*IF($A96&gt;=31,1+'설정'!$C$14*'설정'!$E$33,1)/$D96)&lt;1,('설정'!$C$33*IF($A96&gt;=31,1+'설정'!$C$14*'설정'!$E$33,1)/$D96)^(-'설정'!$C$6),('설정'!$C$33*IF($A96&gt;=31,1+'설정'!$C$14*'설정'!$E$33,1)/$D96)^(-'설정'!$C$7))&gt;('설정'!$C$4+'설정'!$F$33+'설정'!$G$33),"실패",ROUND($E96*'설정'!$C$5*IF(('설정'!$C$33*IF($A96&gt;=31,1+'설정'!$C$14*'설정'!$E$33,1)/$D96)&lt;1,('설정'!$C$33*IF($A96&gt;=31,1+'설정'!$C$14*'설정'!$E$33,1)/$D96)^(-'설정'!$C$6),('설정'!$C$33*IF($A96&gt;=31,1+'설정'!$C$14*'설정'!$E$33,1)/$D96)^(-'설정'!$C$7)),0))</f>
        <v/>
      </c>
      <c r="T96" s="8">
        <f>IF($E96*'설정'!$C$5*IF(('설정'!$C$34*IF($A96&gt;=31,1+'설정'!$C$14*'설정'!$E$34,1)/$D96)&lt;1,('설정'!$C$34*IF($A96&gt;=31,1+'설정'!$C$14*'설정'!$E$34,1)/$D96)^(-'설정'!$C$6),('설정'!$C$34*IF($A96&gt;=31,1+'설정'!$C$14*'설정'!$E$34,1)/$D96)^(-'설정'!$C$7))&gt;('설정'!$C$4+'설정'!$F$34+'설정'!$G$34),"실패",ROUND($E96*'설정'!$C$5*IF(('설정'!$C$34*IF($A96&gt;=31,1+'설정'!$C$14*'설정'!$E$34,1)/$D96)&lt;1,('설정'!$C$34*IF($A96&gt;=31,1+'설정'!$C$14*'설정'!$E$34,1)/$D96)^(-'설정'!$C$6),('설정'!$C$34*IF($A96&gt;=31,1+'설정'!$C$14*'설정'!$E$34,1)/$D96)^(-'설정'!$C$7)),0))</f>
        <v/>
      </c>
      <c r="U96" s="8">
        <f>IF($E96*'설정'!$C$5*IF(('설정'!$C$35*IF($A96&gt;=31,1+'설정'!$C$14*'설정'!$E$35,1)/$D96)&lt;1,('설정'!$C$35*IF($A96&gt;=31,1+'설정'!$C$14*'설정'!$E$35,1)/$D96)^(-'설정'!$C$6),('설정'!$C$35*IF($A96&gt;=31,1+'설정'!$C$14*'설정'!$E$35,1)/$D96)^(-'설정'!$C$7))&gt;('설정'!$C$4+'설정'!$F$35+'설정'!$G$35),"실패",ROUND($E96*'설정'!$C$5*IF(('설정'!$C$35*IF($A96&gt;=31,1+'설정'!$C$14*'설정'!$E$35,1)/$D96)&lt;1,('설정'!$C$35*IF($A96&gt;=31,1+'설정'!$C$14*'설정'!$E$35,1)/$D96)^(-'설정'!$C$6),('설정'!$C$35*IF($A96&gt;=31,1+'설정'!$C$14*'설정'!$E$35,1)/$D96)^(-'설정'!$C$7)),0))</f>
        <v/>
      </c>
      <c r="V96" s="8">
        <f>IF($E96*'설정'!$C$5*IF(('설정'!$C$36*IF($A96&gt;=31,1+'설정'!$C$14*'설정'!$E$36,1)/$D96)&lt;1,('설정'!$C$36*IF($A96&gt;=31,1+'설정'!$C$14*'설정'!$E$36,1)/$D96)^(-'설정'!$C$6),('설정'!$C$36*IF($A96&gt;=31,1+'설정'!$C$14*'설정'!$E$36,1)/$D96)^(-'설정'!$C$7))&gt;('설정'!$C$4+'설정'!$F$36+'설정'!$G$36),"실패",ROUND($E96*'설정'!$C$5*IF(('설정'!$C$36*IF($A96&gt;=31,1+'설정'!$C$14*'설정'!$E$36,1)/$D96)&lt;1,('설정'!$C$36*IF($A96&gt;=31,1+'설정'!$C$14*'설정'!$E$36,1)/$D96)^(-'설정'!$C$6),('설정'!$C$36*IF($A96&gt;=31,1+'설정'!$C$14*'설정'!$E$36,1)/$D96)^(-'설정'!$C$7)),0))</f>
        <v/>
      </c>
      <c r="W96" s="8">
        <f>IF($E96*'설정'!$C$5*IF(('설정'!$C$37*IF($A96&gt;=31,1+'설정'!$C$14*'설정'!$E$37,1)/$D96)&lt;1,('설정'!$C$37*IF($A96&gt;=31,1+'설정'!$C$14*'설정'!$E$37,1)/$D96)^(-'설정'!$C$6),('설정'!$C$37*IF($A96&gt;=31,1+'설정'!$C$14*'설정'!$E$37,1)/$D96)^(-'설정'!$C$7))&gt;('설정'!$C$4+'설정'!$F$37+'설정'!$G$37),"실패",ROUND($E96*'설정'!$C$5*IF(('설정'!$C$37*IF($A96&gt;=31,1+'설정'!$C$14*'설정'!$E$37,1)/$D96)&lt;1,('설정'!$C$37*IF($A96&gt;=31,1+'설정'!$C$14*'설정'!$E$37,1)/$D96)^(-'설정'!$C$6),('설정'!$C$37*IF($A96&gt;=31,1+'설정'!$C$14*'설정'!$E$37,1)/$D96)^(-'설정'!$C$7)),0))</f>
        <v/>
      </c>
    </row>
    <row r="97">
      <c r="A97" t="n">
        <v>95</v>
      </c>
      <c r="B97" t="inlineStr">
        <is>
          <t>보통</t>
        </is>
      </c>
      <c r="C97" t="inlineStr"/>
      <c r="D97" s="6" t="n">
        <v>36900000</v>
      </c>
      <c r="E97" t="n">
        <v>72</v>
      </c>
      <c r="F97" s="6" t="n">
        <v>738000</v>
      </c>
      <c r="G97" t="n">
        <v>91</v>
      </c>
      <c r="H97" s="8">
        <f>IF($E97*'설정'!$C$5*IF(('설정'!$C$22*IF($A97&gt;=31,1+'설정'!$C$14*'설정'!$E$22,1)/$D97)&lt;1,('설정'!$C$22*IF($A97&gt;=31,1+'설정'!$C$14*'설정'!$E$22,1)/$D97)^(-'설정'!$C$6),('설정'!$C$22*IF($A97&gt;=31,1+'설정'!$C$14*'설정'!$E$22,1)/$D97)^(-'설정'!$C$7))&gt;('설정'!$C$4+'설정'!$F$22),"실패",ROUND($E97*'설정'!$C$5*IF(('설정'!$C$22*IF($A97&gt;=31,1+'설정'!$C$14*'설정'!$E$22,1)/$D97)&lt;1,('설정'!$C$22*IF($A97&gt;=31,1+'설정'!$C$14*'설정'!$E$22,1)/$D97)^(-'설정'!$C$6),('설정'!$C$22*IF($A97&gt;=31,1+'설정'!$C$14*'설정'!$E$22,1)/$D97)^(-'설정'!$C$7)),0))</f>
        <v/>
      </c>
      <c r="I97" s="8">
        <f>IF($E97*'설정'!$C$5*IF(('설정'!$C$23*IF($A97&gt;=31,1+'설정'!$C$14*'설정'!$E$23,1)/$D97)&lt;1,('설정'!$C$23*IF($A97&gt;=31,1+'설정'!$C$14*'설정'!$E$23,1)/$D97)^(-'설정'!$C$6),('설정'!$C$23*IF($A97&gt;=31,1+'설정'!$C$14*'설정'!$E$23,1)/$D97)^(-'설정'!$C$7))&gt;('설정'!$C$4+'설정'!$F$23),"실패",ROUND($E97*'설정'!$C$5*IF(('설정'!$C$23*IF($A97&gt;=31,1+'설정'!$C$14*'설정'!$E$23,1)/$D97)&lt;1,('설정'!$C$23*IF($A97&gt;=31,1+'설정'!$C$14*'설정'!$E$23,1)/$D97)^(-'설정'!$C$6),('설정'!$C$23*IF($A97&gt;=31,1+'설정'!$C$14*'설정'!$E$23,1)/$D97)^(-'설정'!$C$7)),0))</f>
        <v/>
      </c>
      <c r="J97" s="8">
        <f>IF($E97*'설정'!$C$5*IF(('설정'!$C$24*IF($A97&gt;=31,1+'설정'!$C$14*'설정'!$E$24,1)/$D97)&lt;1,('설정'!$C$24*IF($A97&gt;=31,1+'설정'!$C$14*'설정'!$E$24,1)/$D97)^(-'설정'!$C$6),('설정'!$C$24*IF($A97&gt;=31,1+'설정'!$C$14*'설정'!$E$24,1)/$D97)^(-'설정'!$C$7))&gt;('설정'!$C$4+'설정'!$F$24),"실패",ROUND($E97*'설정'!$C$5*IF(('설정'!$C$24*IF($A97&gt;=31,1+'설정'!$C$14*'설정'!$E$24,1)/$D97)&lt;1,('설정'!$C$24*IF($A97&gt;=31,1+'설정'!$C$14*'설정'!$E$24,1)/$D97)^(-'설정'!$C$6),('설정'!$C$24*IF($A97&gt;=31,1+'설정'!$C$14*'설정'!$E$24,1)/$D97)^(-'설정'!$C$7)),0))</f>
        <v/>
      </c>
      <c r="K97" s="8">
        <f>IF($E97*'설정'!$C$5*IF(('설정'!$C$25*IF($A97&gt;=31,1+'설정'!$C$14*'설정'!$E$25,1)/$D97)&lt;1,('설정'!$C$25*IF($A97&gt;=31,1+'설정'!$C$14*'설정'!$E$25,1)/$D97)^(-'설정'!$C$6),('설정'!$C$25*IF($A97&gt;=31,1+'설정'!$C$14*'설정'!$E$25,1)/$D97)^(-'설정'!$C$7))&gt;('설정'!$C$4+'설정'!$F$25),"실패",ROUND($E97*'설정'!$C$5*IF(('설정'!$C$25*IF($A97&gt;=31,1+'설정'!$C$14*'설정'!$E$25,1)/$D97)&lt;1,('설정'!$C$25*IF($A97&gt;=31,1+'설정'!$C$14*'설정'!$E$25,1)/$D97)^(-'설정'!$C$6),('설정'!$C$25*IF($A97&gt;=31,1+'설정'!$C$14*'설정'!$E$25,1)/$D97)^(-'설정'!$C$7)),0))</f>
        <v/>
      </c>
      <c r="L97" s="8">
        <f>IF($E97*'설정'!$C$5*IF(('설정'!$C$26*IF($A97&gt;=31,1+'설정'!$C$14*'설정'!$E$26,1)/$D97)&lt;1,('설정'!$C$26*IF($A97&gt;=31,1+'설정'!$C$14*'설정'!$E$26,1)/$D97)^(-'설정'!$C$6),('설정'!$C$26*IF($A97&gt;=31,1+'설정'!$C$14*'설정'!$E$26,1)/$D97)^(-'설정'!$C$7))&gt;('설정'!$C$4+'설정'!$F$26),"실패",ROUND($E97*'설정'!$C$5*IF(('설정'!$C$26*IF($A97&gt;=31,1+'설정'!$C$14*'설정'!$E$26,1)/$D97)&lt;1,('설정'!$C$26*IF($A97&gt;=31,1+'설정'!$C$14*'설정'!$E$26,1)/$D97)^(-'설정'!$C$6),('설정'!$C$26*IF($A97&gt;=31,1+'설정'!$C$14*'설정'!$E$26,1)/$D97)^(-'설정'!$C$7)),0))</f>
        <v/>
      </c>
      <c r="M97" s="8">
        <f>IF($E97*'설정'!$C$5*IF(('설정'!$C$27*IF($A97&gt;=31,1+'설정'!$C$14*'설정'!$E$27,1)/$D97)&lt;1,('설정'!$C$27*IF($A97&gt;=31,1+'설정'!$C$14*'설정'!$E$27,1)/$D97)^(-'설정'!$C$6),('설정'!$C$27*IF($A97&gt;=31,1+'설정'!$C$14*'설정'!$E$27,1)/$D97)^(-'설정'!$C$7))&gt;('설정'!$C$4+'설정'!$F$27),"실패",ROUND($E97*'설정'!$C$5*IF(('설정'!$C$27*IF($A97&gt;=31,1+'설정'!$C$14*'설정'!$E$27,1)/$D97)&lt;1,('설정'!$C$27*IF($A97&gt;=31,1+'설정'!$C$14*'설정'!$E$27,1)/$D97)^(-'설정'!$C$6),('설정'!$C$27*IF($A97&gt;=31,1+'설정'!$C$14*'설정'!$E$27,1)/$D97)^(-'설정'!$C$7)),0))</f>
        <v/>
      </c>
      <c r="N97" s="8">
        <f>IF($E97*'설정'!$C$5*IF(('설정'!$C$28*IF($A97&gt;=31,1+'설정'!$C$14*'설정'!$E$28,1)/$D97)&lt;1,('설정'!$C$28*IF($A97&gt;=31,1+'설정'!$C$14*'설정'!$E$28,1)/$D97)^(-'설정'!$C$6),('설정'!$C$28*IF($A97&gt;=31,1+'설정'!$C$14*'설정'!$E$28,1)/$D97)^(-'설정'!$C$7))&gt;('설정'!$C$4+'설정'!$F$28),"실패",ROUND($E97*'설정'!$C$5*IF(('설정'!$C$28*IF($A97&gt;=31,1+'설정'!$C$14*'설정'!$E$28,1)/$D97)&lt;1,('설정'!$C$28*IF($A97&gt;=31,1+'설정'!$C$14*'설정'!$E$28,1)/$D97)^(-'설정'!$C$6),('설정'!$C$28*IF($A97&gt;=31,1+'설정'!$C$14*'설정'!$E$28,1)/$D97)^(-'설정'!$C$7)),0))</f>
        <v/>
      </c>
      <c r="O97" s="8">
        <f>IF($E97*'설정'!$C$5*IF(('설정'!$C$29*IF($A97&gt;=31,1+'설정'!$C$14*'설정'!$E$29,1)/$D97)&lt;1,('설정'!$C$29*IF($A97&gt;=31,1+'설정'!$C$14*'설정'!$E$29,1)/$D97)^(-'설정'!$C$6),('설정'!$C$29*IF($A97&gt;=31,1+'설정'!$C$14*'설정'!$E$29,1)/$D97)^(-'설정'!$C$7))&gt;('설정'!$C$4+'설정'!$F$29),"실패",ROUND($E97*'설정'!$C$5*IF(('설정'!$C$29*IF($A97&gt;=31,1+'설정'!$C$14*'설정'!$E$29,1)/$D97)&lt;1,('설정'!$C$29*IF($A97&gt;=31,1+'설정'!$C$14*'설정'!$E$29,1)/$D97)^(-'설정'!$C$6),('설정'!$C$29*IF($A97&gt;=31,1+'설정'!$C$14*'설정'!$E$29,1)/$D97)^(-'설정'!$C$7)),0))</f>
        <v/>
      </c>
      <c r="P97" s="8">
        <f>IF($E97*'설정'!$C$5*IF(('설정'!$C$30*IF($A97&gt;=31,1+'설정'!$C$14*'설정'!$E$30,1)/$D97)&lt;1,('설정'!$C$30*IF($A97&gt;=31,1+'설정'!$C$14*'설정'!$E$30,1)/$D97)^(-'설정'!$C$6),('설정'!$C$30*IF($A97&gt;=31,1+'설정'!$C$14*'설정'!$E$30,1)/$D97)^(-'설정'!$C$7))&gt;('설정'!$C$4+'설정'!$F$30),"실패",ROUND($E97*'설정'!$C$5*IF(('설정'!$C$30*IF($A97&gt;=31,1+'설정'!$C$14*'설정'!$E$30,1)/$D97)&lt;1,('설정'!$C$30*IF($A97&gt;=31,1+'설정'!$C$14*'설정'!$E$30,1)/$D97)^(-'설정'!$C$6),('설정'!$C$30*IF($A97&gt;=31,1+'설정'!$C$14*'설정'!$E$30,1)/$D97)^(-'설정'!$C$7)),0))</f>
        <v/>
      </c>
      <c r="Q97" s="8">
        <f>IF($E97*'설정'!$C$5*IF(('설정'!$C$31*IF($A97&gt;=31,1+'설정'!$C$14*'설정'!$E$31,1)/$D97)&lt;1,('설정'!$C$31*IF($A97&gt;=31,1+'설정'!$C$14*'설정'!$E$31,1)/$D97)^(-'설정'!$C$6),('설정'!$C$31*IF($A97&gt;=31,1+'설정'!$C$14*'설정'!$E$31,1)/$D97)^(-'설정'!$C$7))&gt;('설정'!$C$4+'설정'!$F$31),"실패",ROUND($E97*'설정'!$C$5*IF(('설정'!$C$31*IF($A97&gt;=31,1+'설정'!$C$14*'설정'!$E$31,1)/$D97)&lt;1,('설정'!$C$31*IF($A97&gt;=31,1+'설정'!$C$14*'설정'!$E$31,1)/$D97)^(-'설정'!$C$6),('설정'!$C$31*IF($A97&gt;=31,1+'설정'!$C$14*'설정'!$E$31,1)/$D97)^(-'설정'!$C$7)),0))</f>
        <v/>
      </c>
      <c r="R97" s="8">
        <f>IF($E97*'설정'!$C$5*IF(('설정'!$C$32*IF($A97&gt;=31,1+'설정'!$C$14*'설정'!$E$32,1)/$D97)&lt;1,('설정'!$C$32*IF($A97&gt;=31,1+'설정'!$C$14*'설정'!$E$32,1)/$D97)^(-'설정'!$C$6),('설정'!$C$32*IF($A97&gt;=31,1+'설정'!$C$14*'설정'!$E$32,1)/$D97)^(-'설정'!$C$7))&gt;('설정'!$C$4+'설정'!$F$32),"실패",ROUND($E97*'설정'!$C$5*IF(('설정'!$C$32*IF($A97&gt;=31,1+'설정'!$C$14*'설정'!$E$32,1)/$D97)&lt;1,('설정'!$C$32*IF($A97&gt;=31,1+'설정'!$C$14*'설정'!$E$32,1)/$D97)^(-'설정'!$C$6),('설정'!$C$32*IF($A97&gt;=31,1+'설정'!$C$14*'설정'!$E$32,1)/$D97)^(-'설정'!$C$7)),0))</f>
        <v/>
      </c>
      <c r="S97" s="8">
        <f>IF($E97*'설정'!$C$5*IF(('설정'!$C$33*IF($A97&gt;=31,1+'설정'!$C$14*'설정'!$E$33,1)/$D97)&lt;1,('설정'!$C$33*IF($A97&gt;=31,1+'설정'!$C$14*'설정'!$E$33,1)/$D97)^(-'설정'!$C$6),('설정'!$C$33*IF($A97&gt;=31,1+'설정'!$C$14*'설정'!$E$33,1)/$D97)^(-'설정'!$C$7))&gt;('설정'!$C$4+'설정'!$F$33),"실패",ROUND($E97*'설정'!$C$5*IF(('설정'!$C$33*IF($A97&gt;=31,1+'설정'!$C$14*'설정'!$E$33,1)/$D97)&lt;1,('설정'!$C$33*IF($A97&gt;=31,1+'설정'!$C$14*'설정'!$E$33,1)/$D97)^(-'설정'!$C$6),('설정'!$C$33*IF($A97&gt;=31,1+'설정'!$C$14*'설정'!$E$33,1)/$D97)^(-'설정'!$C$7)),0))</f>
        <v/>
      </c>
      <c r="T97" s="8">
        <f>IF($E97*'설정'!$C$5*IF(('설정'!$C$34*IF($A97&gt;=31,1+'설정'!$C$14*'설정'!$E$34,1)/$D97)&lt;1,('설정'!$C$34*IF($A97&gt;=31,1+'설정'!$C$14*'설정'!$E$34,1)/$D97)^(-'설정'!$C$6),('설정'!$C$34*IF($A97&gt;=31,1+'설정'!$C$14*'설정'!$E$34,1)/$D97)^(-'설정'!$C$7))&gt;('설정'!$C$4+'설정'!$F$34),"실패",ROUND($E97*'설정'!$C$5*IF(('설정'!$C$34*IF($A97&gt;=31,1+'설정'!$C$14*'설정'!$E$34,1)/$D97)&lt;1,('설정'!$C$34*IF($A97&gt;=31,1+'설정'!$C$14*'설정'!$E$34,1)/$D97)^(-'설정'!$C$6),('설정'!$C$34*IF($A97&gt;=31,1+'설정'!$C$14*'설정'!$E$34,1)/$D97)^(-'설정'!$C$7)),0))</f>
        <v/>
      </c>
      <c r="U97" s="8">
        <f>IF($E97*'설정'!$C$5*IF(('설정'!$C$35*IF($A97&gt;=31,1+'설정'!$C$14*'설정'!$E$35,1)/$D97)&lt;1,('설정'!$C$35*IF($A97&gt;=31,1+'설정'!$C$14*'설정'!$E$35,1)/$D97)^(-'설정'!$C$6),('설정'!$C$35*IF($A97&gt;=31,1+'설정'!$C$14*'설정'!$E$35,1)/$D97)^(-'설정'!$C$7))&gt;('설정'!$C$4+'설정'!$F$35),"실패",ROUND($E97*'설정'!$C$5*IF(('설정'!$C$35*IF($A97&gt;=31,1+'설정'!$C$14*'설정'!$E$35,1)/$D97)&lt;1,('설정'!$C$35*IF($A97&gt;=31,1+'설정'!$C$14*'설정'!$E$35,1)/$D97)^(-'설정'!$C$6),('설정'!$C$35*IF($A97&gt;=31,1+'설정'!$C$14*'설정'!$E$35,1)/$D97)^(-'설정'!$C$7)),0))</f>
        <v/>
      </c>
      <c r="V97" s="8">
        <f>IF($E97*'설정'!$C$5*IF(('설정'!$C$36*IF($A97&gt;=31,1+'설정'!$C$14*'설정'!$E$36,1)/$D97)&lt;1,('설정'!$C$36*IF($A97&gt;=31,1+'설정'!$C$14*'설정'!$E$36,1)/$D97)^(-'설정'!$C$6),('설정'!$C$36*IF($A97&gt;=31,1+'설정'!$C$14*'설정'!$E$36,1)/$D97)^(-'설정'!$C$7))&gt;('설정'!$C$4+'설정'!$F$36),"실패",ROUND($E97*'설정'!$C$5*IF(('설정'!$C$36*IF($A97&gt;=31,1+'설정'!$C$14*'설정'!$E$36,1)/$D97)&lt;1,('설정'!$C$36*IF($A97&gt;=31,1+'설정'!$C$14*'설정'!$E$36,1)/$D97)^(-'설정'!$C$6),('설정'!$C$36*IF($A97&gt;=31,1+'설정'!$C$14*'설정'!$E$36,1)/$D97)^(-'설정'!$C$7)),0))</f>
        <v/>
      </c>
      <c r="W97" s="8">
        <f>IF($E97*'설정'!$C$5*IF(('설정'!$C$37*IF($A97&gt;=31,1+'설정'!$C$14*'설정'!$E$37,1)/$D97)&lt;1,('설정'!$C$37*IF($A97&gt;=31,1+'설정'!$C$14*'설정'!$E$37,1)/$D97)^(-'설정'!$C$6),('설정'!$C$37*IF($A97&gt;=31,1+'설정'!$C$14*'설정'!$E$37,1)/$D97)^(-'설정'!$C$7))&gt;('설정'!$C$4+'설정'!$F$37),"실패",ROUND($E97*'설정'!$C$5*IF(('설정'!$C$37*IF($A97&gt;=31,1+'설정'!$C$14*'설정'!$E$37,1)/$D97)&lt;1,('설정'!$C$37*IF($A97&gt;=31,1+'설정'!$C$14*'설정'!$E$37,1)/$D97)^(-'설정'!$C$6),('설정'!$C$37*IF($A97&gt;=31,1+'설정'!$C$14*'설정'!$E$37,1)/$D97)^(-'설정'!$C$7)),0))</f>
        <v/>
      </c>
    </row>
    <row r="98">
      <c r="A98" t="n">
        <v>96</v>
      </c>
      <c r="B98" t="inlineStr">
        <is>
          <t>보통</t>
        </is>
      </c>
      <c r="C98" t="inlineStr"/>
      <c r="D98" s="6" t="n">
        <v>38300000</v>
      </c>
      <c r="E98" t="n">
        <v>72</v>
      </c>
      <c r="F98" s="6" t="n">
        <v>767000</v>
      </c>
      <c r="G98" t="n">
        <v>92</v>
      </c>
      <c r="H98" s="8">
        <f>IF($E98*'설정'!$C$5*IF(('설정'!$C$22*IF($A98&gt;=31,1+'설정'!$C$14*'설정'!$E$22,1)/$D98)&lt;1,('설정'!$C$22*IF($A98&gt;=31,1+'설정'!$C$14*'설정'!$E$22,1)/$D98)^(-'설정'!$C$6),('설정'!$C$22*IF($A98&gt;=31,1+'설정'!$C$14*'설정'!$E$22,1)/$D98)^(-'설정'!$C$7))&gt;('설정'!$C$4+'설정'!$F$22),"실패",ROUND($E98*'설정'!$C$5*IF(('설정'!$C$22*IF($A98&gt;=31,1+'설정'!$C$14*'설정'!$E$22,1)/$D98)&lt;1,('설정'!$C$22*IF($A98&gt;=31,1+'설정'!$C$14*'설정'!$E$22,1)/$D98)^(-'설정'!$C$6),('설정'!$C$22*IF($A98&gt;=31,1+'설정'!$C$14*'설정'!$E$22,1)/$D98)^(-'설정'!$C$7)),0))</f>
        <v/>
      </c>
      <c r="I98" s="8">
        <f>IF($E98*'설정'!$C$5*IF(('설정'!$C$23*IF($A98&gt;=31,1+'설정'!$C$14*'설정'!$E$23,1)/$D98)&lt;1,('설정'!$C$23*IF($A98&gt;=31,1+'설정'!$C$14*'설정'!$E$23,1)/$D98)^(-'설정'!$C$6),('설정'!$C$23*IF($A98&gt;=31,1+'설정'!$C$14*'설정'!$E$23,1)/$D98)^(-'설정'!$C$7))&gt;('설정'!$C$4+'설정'!$F$23),"실패",ROUND($E98*'설정'!$C$5*IF(('설정'!$C$23*IF($A98&gt;=31,1+'설정'!$C$14*'설정'!$E$23,1)/$D98)&lt;1,('설정'!$C$23*IF($A98&gt;=31,1+'설정'!$C$14*'설정'!$E$23,1)/$D98)^(-'설정'!$C$6),('설정'!$C$23*IF($A98&gt;=31,1+'설정'!$C$14*'설정'!$E$23,1)/$D98)^(-'설정'!$C$7)),0))</f>
        <v/>
      </c>
      <c r="J98" s="8">
        <f>IF($E98*'설정'!$C$5*IF(('설정'!$C$24*IF($A98&gt;=31,1+'설정'!$C$14*'설정'!$E$24,1)/$D98)&lt;1,('설정'!$C$24*IF($A98&gt;=31,1+'설정'!$C$14*'설정'!$E$24,1)/$D98)^(-'설정'!$C$6),('설정'!$C$24*IF($A98&gt;=31,1+'설정'!$C$14*'설정'!$E$24,1)/$D98)^(-'설정'!$C$7))&gt;('설정'!$C$4+'설정'!$F$24),"실패",ROUND($E98*'설정'!$C$5*IF(('설정'!$C$24*IF($A98&gt;=31,1+'설정'!$C$14*'설정'!$E$24,1)/$D98)&lt;1,('설정'!$C$24*IF($A98&gt;=31,1+'설정'!$C$14*'설정'!$E$24,1)/$D98)^(-'설정'!$C$6),('설정'!$C$24*IF($A98&gt;=31,1+'설정'!$C$14*'설정'!$E$24,1)/$D98)^(-'설정'!$C$7)),0))</f>
        <v/>
      </c>
      <c r="K98" s="8">
        <f>IF($E98*'설정'!$C$5*IF(('설정'!$C$25*IF($A98&gt;=31,1+'설정'!$C$14*'설정'!$E$25,1)/$D98)&lt;1,('설정'!$C$25*IF($A98&gt;=31,1+'설정'!$C$14*'설정'!$E$25,1)/$D98)^(-'설정'!$C$6),('설정'!$C$25*IF($A98&gt;=31,1+'설정'!$C$14*'설정'!$E$25,1)/$D98)^(-'설정'!$C$7))&gt;('설정'!$C$4+'설정'!$F$25),"실패",ROUND($E98*'설정'!$C$5*IF(('설정'!$C$25*IF($A98&gt;=31,1+'설정'!$C$14*'설정'!$E$25,1)/$D98)&lt;1,('설정'!$C$25*IF($A98&gt;=31,1+'설정'!$C$14*'설정'!$E$25,1)/$D98)^(-'설정'!$C$6),('설정'!$C$25*IF($A98&gt;=31,1+'설정'!$C$14*'설정'!$E$25,1)/$D98)^(-'설정'!$C$7)),0))</f>
        <v/>
      </c>
      <c r="L98" s="8">
        <f>IF($E98*'설정'!$C$5*IF(('설정'!$C$26*IF($A98&gt;=31,1+'설정'!$C$14*'설정'!$E$26,1)/$D98)&lt;1,('설정'!$C$26*IF($A98&gt;=31,1+'설정'!$C$14*'설정'!$E$26,1)/$D98)^(-'설정'!$C$6),('설정'!$C$26*IF($A98&gt;=31,1+'설정'!$C$14*'설정'!$E$26,1)/$D98)^(-'설정'!$C$7))&gt;('설정'!$C$4+'설정'!$F$26),"실패",ROUND($E98*'설정'!$C$5*IF(('설정'!$C$26*IF($A98&gt;=31,1+'설정'!$C$14*'설정'!$E$26,1)/$D98)&lt;1,('설정'!$C$26*IF($A98&gt;=31,1+'설정'!$C$14*'설정'!$E$26,1)/$D98)^(-'설정'!$C$6),('설정'!$C$26*IF($A98&gt;=31,1+'설정'!$C$14*'설정'!$E$26,1)/$D98)^(-'설정'!$C$7)),0))</f>
        <v/>
      </c>
      <c r="M98" s="8">
        <f>IF($E98*'설정'!$C$5*IF(('설정'!$C$27*IF($A98&gt;=31,1+'설정'!$C$14*'설정'!$E$27,1)/$D98)&lt;1,('설정'!$C$27*IF($A98&gt;=31,1+'설정'!$C$14*'설정'!$E$27,1)/$D98)^(-'설정'!$C$6),('설정'!$C$27*IF($A98&gt;=31,1+'설정'!$C$14*'설정'!$E$27,1)/$D98)^(-'설정'!$C$7))&gt;('설정'!$C$4+'설정'!$F$27),"실패",ROUND($E98*'설정'!$C$5*IF(('설정'!$C$27*IF($A98&gt;=31,1+'설정'!$C$14*'설정'!$E$27,1)/$D98)&lt;1,('설정'!$C$27*IF($A98&gt;=31,1+'설정'!$C$14*'설정'!$E$27,1)/$D98)^(-'설정'!$C$6),('설정'!$C$27*IF($A98&gt;=31,1+'설정'!$C$14*'설정'!$E$27,1)/$D98)^(-'설정'!$C$7)),0))</f>
        <v/>
      </c>
      <c r="N98" s="8">
        <f>IF($E98*'설정'!$C$5*IF(('설정'!$C$28*IF($A98&gt;=31,1+'설정'!$C$14*'설정'!$E$28,1)/$D98)&lt;1,('설정'!$C$28*IF($A98&gt;=31,1+'설정'!$C$14*'설정'!$E$28,1)/$D98)^(-'설정'!$C$6),('설정'!$C$28*IF($A98&gt;=31,1+'설정'!$C$14*'설정'!$E$28,1)/$D98)^(-'설정'!$C$7))&gt;('설정'!$C$4+'설정'!$F$28),"실패",ROUND($E98*'설정'!$C$5*IF(('설정'!$C$28*IF($A98&gt;=31,1+'설정'!$C$14*'설정'!$E$28,1)/$D98)&lt;1,('설정'!$C$28*IF($A98&gt;=31,1+'설정'!$C$14*'설정'!$E$28,1)/$D98)^(-'설정'!$C$6),('설정'!$C$28*IF($A98&gt;=31,1+'설정'!$C$14*'설정'!$E$28,1)/$D98)^(-'설정'!$C$7)),0))</f>
        <v/>
      </c>
      <c r="O98" s="8">
        <f>IF($E98*'설정'!$C$5*IF(('설정'!$C$29*IF($A98&gt;=31,1+'설정'!$C$14*'설정'!$E$29,1)/$D98)&lt;1,('설정'!$C$29*IF($A98&gt;=31,1+'설정'!$C$14*'설정'!$E$29,1)/$D98)^(-'설정'!$C$6),('설정'!$C$29*IF($A98&gt;=31,1+'설정'!$C$14*'설정'!$E$29,1)/$D98)^(-'설정'!$C$7))&gt;('설정'!$C$4+'설정'!$F$29),"실패",ROUND($E98*'설정'!$C$5*IF(('설정'!$C$29*IF($A98&gt;=31,1+'설정'!$C$14*'설정'!$E$29,1)/$D98)&lt;1,('설정'!$C$29*IF($A98&gt;=31,1+'설정'!$C$14*'설정'!$E$29,1)/$D98)^(-'설정'!$C$6),('설정'!$C$29*IF($A98&gt;=31,1+'설정'!$C$14*'설정'!$E$29,1)/$D98)^(-'설정'!$C$7)),0))</f>
        <v/>
      </c>
      <c r="P98" s="8">
        <f>IF($E98*'설정'!$C$5*IF(('설정'!$C$30*IF($A98&gt;=31,1+'설정'!$C$14*'설정'!$E$30,1)/$D98)&lt;1,('설정'!$C$30*IF($A98&gt;=31,1+'설정'!$C$14*'설정'!$E$30,1)/$D98)^(-'설정'!$C$6),('설정'!$C$30*IF($A98&gt;=31,1+'설정'!$C$14*'설정'!$E$30,1)/$D98)^(-'설정'!$C$7))&gt;('설정'!$C$4+'설정'!$F$30),"실패",ROUND($E98*'설정'!$C$5*IF(('설정'!$C$30*IF($A98&gt;=31,1+'설정'!$C$14*'설정'!$E$30,1)/$D98)&lt;1,('설정'!$C$30*IF($A98&gt;=31,1+'설정'!$C$14*'설정'!$E$30,1)/$D98)^(-'설정'!$C$6),('설정'!$C$30*IF($A98&gt;=31,1+'설정'!$C$14*'설정'!$E$30,1)/$D98)^(-'설정'!$C$7)),0))</f>
        <v/>
      </c>
      <c r="Q98" s="8">
        <f>IF($E98*'설정'!$C$5*IF(('설정'!$C$31*IF($A98&gt;=31,1+'설정'!$C$14*'설정'!$E$31,1)/$D98)&lt;1,('설정'!$C$31*IF($A98&gt;=31,1+'설정'!$C$14*'설정'!$E$31,1)/$D98)^(-'설정'!$C$6),('설정'!$C$31*IF($A98&gt;=31,1+'설정'!$C$14*'설정'!$E$31,1)/$D98)^(-'설정'!$C$7))&gt;('설정'!$C$4+'설정'!$F$31),"실패",ROUND($E98*'설정'!$C$5*IF(('설정'!$C$31*IF($A98&gt;=31,1+'설정'!$C$14*'설정'!$E$31,1)/$D98)&lt;1,('설정'!$C$31*IF($A98&gt;=31,1+'설정'!$C$14*'설정'!$E$31,1)/$D98)^(-'설정'!$C$6),('설정'!$C$31*IF($A98&gt;=31,1+'설정'!$C$14*'설정'!$E$31,1)/$D98)^(-'설정'!$C$7)),0))</f>
        <v/>
      </c>
      <c r="R98" s="8">
        <f>IF($E98*'설정'!$C$5*IF(('설정'!$C$32*IF($A98&gt;=31,1+'설정'!$C$14*'설정'!$E$32,1)/$D98)&lt;1,('설정'!$C$32*IF($A98&gt;=31,1+'설정'!$C$14*'설정'!$E$32,1)/$D98)^(-'설정'!$C$6),('설정'!$C$32*IF($A98&gt;=31,1+'설정'!$C$14*'설정'!$E$32,1)/$D98)^(-'설정'!$C$7))&gt;('설정'!$C$4+'설정'!$F$32),"실패",ROUND($E98*'설정'!$C$5*IF(('설정'!$C$32*IF($A98&gt;=31,1+'설정'!$C$14*'설정'!$E$32,1)/$D98)&lt;1,('설정'!$C$32*IF($A98&gt;=31,1+'설정'!$C$14*'설정'!$E$32,1)/$D98)^(-'설정'!$C$6),('설정'!$C$32*IF($A98&gt;=31,1+'설정'!$C$14*'설정'!$E$32,1)/$D98)^(-'설정'!$C$7)),0))</f>
        <v/>
      </c>
      <c r="S98" s="8">
        <f>IF($E98*'설정'!$C$5*IF(('설정'!$C$33*IF($A98&gt;=31,1+'설정'!$C$14*'설정'!$E$33,1)/$D98)&lt;1,('설정'!$C$33*IF($A98&gt;=31,1+'설정'!$C$14*'설정'!$E$33,1)/$D98)^(-'설정'!$C$6),('설정'!$C$33*IF($A98&gt;=31,1+'설정'!$C$14*'설정'!$E$33,1)/$D98)^(-'설정'!$C$7))&gt;('설정'!$C$4+'설정'!$F$33),"실패",ROUND($E98*'설정'!$C$5*IF(('설정'!$C$33*IF($A98&gt;=31,1+'설정'!$C$14*'설정'!$E$33,1)/$D98)&lt;1,('설정'!$C$33*IF($A98&gt;=31,1+'설정'!$C$14*'설정'!$E$33,1)/$D98)^(-'설정'!$C$6),('설정'!$C$33*IF($A98&gt;=31,1+'설정'!$C$14*'설정'!$E$33,1)/$D98)^(-'설정'!$C$7)),0))</f>
        <v/>
      </c>
      <c r="T98" s="8">
        <f>IF($E98*'설정'!$C$5*IF(('설정'!$C$34*IF($A98&gt;=31,1+'설정'!$C$14*'설정'!$E$34,1)/$D98)&lt;1,('설정'!$C$34*IF($A98&gt;=31,1+'설정'!$C$14*'설정'!$E$34,1)/$D98)^(-'설정'!$C$6),('설정'!$C$34*IF($A98&gt;=31,1+'설정'!$C$14*'설정'!$E$34,1)/$D98)^(-'설정'!$C$7))&gt;('설정'!$C$4+'설정'!$F$34),"실패",ROUND($E98*'설정'!$C$5*IF(('설정'!$C$34*IF($A98&gt;=31,1+'설정'!$C$14*'설정'!$E$34,1)/$D98)&lt;1,('설정'!$C$34*IF($A98&gt;=31,1+'설정'!$C$14*'설정'!$E$34,1)/$D98)^(-'설정'!$C$6),('설정'!$C$34*IF($A98&gt;=31,1+'설정'!$C$14*'설정'!$E$34,1)/$D98)^(-'설정'!$C$7)),0))</f>
        <v/>
      </c>
      <c r="U98" s="8">
        <f>IF($E98*'설정'!$C$5*IF(('설정'!$C$35*IF($A98&gt;=31,1+'설정'!$C$14*'설정'!$E$35,1)/$D98)&lt;1,('설정'!$C$35*IF($A98&gt;=31,1+'설정'!$C$14*'설정'!$E$35,1)/$D98)^(-'설정'!$C$6),('설정'!$C$35*IF($A98&gt;=31,1+'설정'!$C$14*'설정'!$E$35,1)/$D98)^(-'설정'!$C$7))&gt;('설정'!$C$4+'설정'!$F$35),"실패",ROUND($E98*'설정'!$C$5*IF(('설정'!$C$35*IF($A98&gt;=31,1+'설정'!$C$14*'설정'!$E$35,1)/$D98)&lt;1,('설정'!$C$35*IF($A98&gt;=31,1+'설정'!$C$14*'설정'!$E$35,1)/$D98)^(-'설정'!$C$6),('설정'!$C$35*IF($A98&gt;=31,1+'설정'!$C$14*'설정'!$E$35,1)/$D98)^(-'설정'!$C$7)),0))</f>
        <v/>
      </c>
      <c r="V98" s="8">
        <f>IF($E98*'설정'!$C$5*IF(('설정'!$C$36*IF($A98&gt;=31,1+'설정'!$C$14*'설정'!$E$36,1)/$D98)&lt;1,('설정'!$C$36*IF($A98&gt;=31,1+'설정'!$C$14*'설정'!$E$36,1)/$D98)^(-'설정'!$C$6),('설정'!$C$36*IF($A98&gt;=31,1+'설정'!$C$14*'설정'!$E$36,1)/$D98)^(-'설정'!$C$7))&gt;('설정'!$C$4+'설정'!$F$36),"실패",ROUND($E98*'설정'!$C$5*IF(('설정'!$C$36*IF($A98&gt;=31,1+'설정'!$C$14*'설정'!$E$36,1)/$D98)&lt;1,('설정'!$C$36*IF($A98&gt;=31,1+'설정'!$C$14*'설정'!$E$36,1)/$D98)^(-'설정'!$C$6),('설정'!$C$36*IF($A98&gt;=31,1+'설정'!$C$14*'설정'!$E$36,1)/$D98)^(-'설정'!$C$7)),0))</f>
        <v/>
      </c>
      <c r="W98" s="8">
        <f>IF($E98*'설정'!$C$5*IF(('설정'!$C$37*IF($A98&gt;=31,1+'설정'!$C$14*'설정'!$E$37,1)/$D98)&lt;1,('설정'!$C$37*IF($A98&gt;=31,1+'설정'!$C$14*'설정'!$E$37,1)/$D98)^(-'설정'!$C$6),('설정'!$C$37*IF($A98&gt;=31,1+'설정'!$C$14*'설정'!$E$37,1)/$D98)^(-'설정'!$C$7))&gt;('설정'!$C$4+'설정'!$F$37),"실패",ROUND($E98*'설정'!$C$5*IF(('설정'!$C$37*IF($A98&gt;=31,1+'설정'!$C$14*'설정'!$E$37,1)/$D98)&lt;1,('설정'!$C$37*IF($A98&gt;=31,1+'설정'!$C$14*'설정'!$E$37,1)/$D98)^(-'설정'!$C$6),('설정'!$C$37*IF($A98&gt;=31,1+'설정'!$C$14*'설정'!$E$37,1)/$D98)^(-'설정'!$C$7)),0))</f>
        <v/>
      </c>
    </row>
    <row r="99">
      <c r="A99" t="n">
        <v>97</v>
      </c>
      <c r="B99" t="inlineStr">
        <is>
          <t>어려움</t>
        </is>
      </c>
      <c r="C99" t="inlineStr">
        <is>
          <t>보스</t>
        </is>
      </c>
      <c r="D99" s="6" t="n">
        <v>45800000</v>
      </c>
      <c r="E99" t="n">
        <v>90</v>
      </c>
      <c r="F99" s="6" t="n">
        <v>916000</v>
      </c>
      <c r="G99" t="n">
        <v>93</v>
      </c>
      <c r="H99" s="8">
        <f>IF($E99*'설정'!$C$5*IF(('설정'!$C$22*IF($A99&gt;=31,1+'설정'!$C$14*'설정'!$E$22,1)/$D99)&lt;1,('설정'!$C$22*IF($A99&gt;=31,1+'설정'!$C$14*'설정'!$E$22,1)/$D99)^(-'설정'!$C$6),('설정'!$C$22*IF($A99&gt;=31,1+'설정'!$C$14*'설정'!$E$22,1)/$D99)^(-'설정'!$C$7))&gt;('설정'!$C$4+'설정'!$F$22+'설정'!$G$22),"실패",ROUND($E99*'설정'!$C$5*IF(('설정'!$C$22*IF($A99&gt;=31,1+'설정'!$C$14*'설정'!$E$22,1)/$D99)&lt;1,('설정'!$C$22*IF($A99&gt;=31,1+'설정'!$C$14*'설정'!$E$22,1)/$D99)^(-'설정'!$C$6),('설정'!$C$22*IF($A99&gt;=31,1+'설정'!$C$14*'설정'!$E$22,1)/$D99)^(-'설정'!$C$7)),0))</f>
        <v/>
      </c>
      <c r="I99" s="8">
        <f>IF($E99*'설정'!$C$5*IF(('설정'!$C$23*IF($A99&gt;=31,1+'설정'!$C$14*'설정'!$E$23,1)/$D99)&lt;1,('설정'!$C$23*IF($A99&gt;=31,1+'설정'!$C$14*'설정'!$E$23,1)/$D99)^(-'설정'!$C$6),('설정'!$C$23*IF($A99&gt;=31,1+'설정'!$C$14*'설정'!$E$23,1)/$D99)^(-'설정'!$C$7))&gt;('설정'!$C$4+'설정'!$F$23+'설정'!$G$23),"실패",ROUND($E99*'설정'!$C$5*IF(('설정'!$C$23*IF($A99&gt;=31,1+'설정'!$C$14*'설정'!$E$23,1)/$D99)&lt;1,('설정'!$C$23*IF($A99&gt;=31,1+'설정'!$C$14*'설정'!$E$23,1)/$D99)^(-'설정'!$C$6),('설정'!$C$23*IF($A99&gt;=31,1+'설정'!$C$14*'설정'!$E$23,1)/$D99)^(-'설정'!$C$7)),0))</f>
        <v/>
      </c>
      <c r="J99" s="8">
        <f>IF($E99*'설정'!$C$5*IF(('설정'!$C$24*IF($A99&gt;=31,1+'설정'!$C$14*'설정'!$E$24,1)/$D99)&lt;1,('설정'!$C$24*IF($A99&gt;=31,1+'설정'!$C$14*'설정'!$E$24,1)/$D99)^(-'설정'!$C$6),('설정'!$C$24*IF($A99&gt;=31,1+'설정'!$C$14*'설정'!$E$24,1)/$D99)^(-'설정'!$C$7))&gt;('설정'!$C$4+'설정'!$F$24+'설정'!$G$24),"실패",ROUND($E99*'설정'!$C$5*IF(('설정'!$C$24*IF($A99&gt;=31,1+'설정'!$C$14*'설정'!$E$24,1)/$D99)&lt;1,('설정'!$C$24*IF($A99&gt;=31,1+'설정'!$C$14*'설정'!$E$24,1)/$D99)^(-'설정'!$C$6),('설정'!$C$24*IF($A99&gt;=31,1+'설정'!$C$14*'설정'!$E$24,1)/$D99)^(-'설정'!$C$7)),0))</f>
        <v/>
      </c>
      <c r="K99" s="8">
        <f>IF($E99*'설정'!$C$5*IF(('설정'!$C$25*IF($A99&gt;=31,1+'설정'!$C$14*'설정'!$E$25,1)/$D99)&lt;1,('설정'!$C$25*IF($A99&gt;=31,1+'설정'!$C$14*'설정'!$E$25,1)/$D99)^(-'설정'!$C$6),('설정'!$C$25*IF($A99&gt;=31,1+'설정'!$C$14*'설정'!$E$25,1)/$D99)^(-'설정'!$C$7))&gt;('설정'!$C$4+'설정'!$F$25+'설정'!$G$25),"실패",ROUND($E99*'설정'!$C$5*IF(('설정'!$C$25*IF($A99&gt;=31,1+'설정'!$C$14*'설정'!$E$25,1)/$D99)&lt;1,('설정'!$C$25*IF($A99&gt;=31,1+'설정'!$C$14*'설정'!$E$25,1)/$D99)^(-'설정'!$C$6),('설정'!$C$25*IF($A99&gt;=31,1+'설정'!$C$14*'설정'!$E$25,1)/$D99)^(-'설정'!$C$7)),0))</f>
        <v/>
      </c>
      <c r="L99" s="8">
        <f>IF($E99*'설정'!$C$5*IF(('설정'!$C$26*IF($A99&gt;=31,1+'설정'!$C$14*'설정'!$E$26,1)/$D99)&lt;1,('설정'!$C$26*IF($A99&gt;=31,1+'설정'!$C$14*'설정'!$E$26,1)/$D99)^(-'설정'!$C$6),('설정'!$C$26*IF($A99&gt;=31,1+'설정'!$C$14*'설정'!$E$26,1)/$D99)^(-'설정'!$C$7))&gt;('설정'!$C$4+'설정'!$F$26+'설정'!$G$26),"실패",ROUND($E99*'설정'!$C$5*IF(('설정'!$C$26*IF($A99&gt;=31,1+'설정'!$C$14*'설정'!$E$26,1)/$D99)&lt;1,('설정'!$C$26*IF($A99&gt;=31,1+'설정'!$C$14*'설정'!$E$26,1)/$D99)^(-'설정'!$C$6),('설정'!$C$26*IF($A99&gt;=31,1+'설정'!$C$14*'설정'!$E$26,1)/$D99)^(-'설정'!$C$7)),0))</f>
        <v/>
      </c>
      <c r="M99" s="8">
        <f>IF($E99*'설정'!$C$5*IF(('설정'!$C$27*IF($A99&gt;=31,1+'설정'!$C$14*'설정'!$E$27,1)/$D99)&lt;1,('설정'!$C$27*IF($A99&gt;=31,1+'설정'!$C$14*'설정'!$E$27,1)/$D99)^(-'설정'!$C$6),('설정'!$C$27*IF($A99&gt;=31,1+'설정'!$C$14*'설정'!$E$27,1)/$D99)^(-'설정'!$C$7))&gt;('설정'!$C$4+'설정'!$F$27+'설정'!$G$27),"실패",ROUND($E99*'설정'!$C$5*IF(('설정'!$C$27*IF($A99&gt;=31,1+'설정'!$C$14*'설정'!$E$27,1)/$D99)&lt;1,('설정'!$C$27*IF($A99&gt;=31,1+'설정'!$C$14*'설정'!$E$27,1)/$D99)^(-'설정'!$C$6),('설정'!$C$27*IF($A99&gt;=31,1+'설정'!$C$14*'설정'!$E$27,1)/$D99)^(-'설정'!$C$7)),0))</f>
        <v/>
      </c>
      <c r="N99" s="8">
        <f>IF($E99*'설정'!$C$5*IF(('설정'!$C$28*IF($A99&gt;=31,1+'설정'!$C$14*'설정'!$E$28,1)/$D99)&lt;1,('설정'!$C$28*IF($A99&gt;=31,1+'설정'!$C$14*'설정'!$E$28,1)/$D99)^(-'설정'!$C$6),('설정'!$C$28*IF($A99&gt;=31,1+'설정'!$C$14*'설정'!$E$28,1)/$D99)^(-'설정'!$C$7))&gt;('설정'!$C$4+'설정'!$F$28+'설정'!$G$28),"실패",ROUND($E99*'설정'!$C$5*IF(('설정'!$C$28*IF($A99&gt;=31,1+'설정'!$C$14*'설정'!$E$28,1)/$D99)&lt;1,('설정'!$C$28*IF($A99&gt;=31,1+'설정'!$C$14*'설정'!$E$28,1)/$D99)^(-'설정'!$C$6),('설정'!$C$28*IF($A99&gt;=31,1+'설정'!$C$14*'설정'!$E$28,1)/$D99)^(-'설정'!$C$7)),0))</f>
        <v/>
      </c>
      <c r="O99" s="8">
        <f>IF($E99*'설정'!$C$5*IF(('설정'!$C$29*IF($A99&gt;=31,1+'설정'!$C$14*'설정'!$E$29,1)/$D99)&lt;1,('설정'!$C$29*IF($A99&gt;=31,1+'설정'!$C$14*'설정'!$E$29,1)/$D99)^(-'설정'!$C$6),('설정'!$C$29*IF($A99&gt;=31,1+'설정'!$C$14*'설정'!$E$29,1)/$D99)^(-'설정'!$C$7))&gt;('설정'!$C$4+'설정'!$F$29+'설정'!$G$29),"실패",ROUND($E99*'설정'!$C$5*IF(('설정'!$C$29*IF($A99&gt;=31,1+'설정'!$C$14*'설정'!$E$29,1)/$D99)&lt;1,('설정'!$C$29*IF($A99&gt;=31,1+'설정'!$C$14*'설정'!$E$29,1)/$D99)^(-'설정'!$C$6),('설정'!$C$29*IF($A99&gt;=31,1+'설정'!$C$14*'설정'!$E$29,1)/$D99)^(-'설정'!$C$7)),0))</f>
        <v/>
      </c>
      <c r="P99" s="8">
        <f>IF($E99*'설정'!$C$5*IF(('설정'!$C$30*IF($A99&gt;=31,1+'설정'!$C$14*'설정'!$E$30,1)/$D99)&lt;1,('설정'!$C$30*IF($A99&gt;=31,1+'설정'!$C$14*'설정'!$E$30,1)/$D99)^(-'설정'!$C$6),('설정'!$C$30*IF($A99&gt;=31,1+'설정'!$C$14*'설정'!$E$30,1)/$D99)^(-'설정'!$C$7))&gt;('설정'!$C$4+'설정'!$F$30+'설정'!$G$30),"실패",ROUND($E99*'설정'!$C$5*IF(('설정'!$C$30*IF($A99&gt;=31,1+'설정'!$C$14*'설정'!$E$30,1)/$D99)&lt;1,('설정'!$C$30*IF($A99&gt;=31,1+'설정'!$C$14*'설정'!$E$30,1)/$D99)^(-'설정'!$C$6),('설정'!$C$30*IF($A99&gt;=31,1+'설정'!$C$14*'설정'!$E$30,1)/$D99)^(-'설정'!$C$7)),0))</f>
        <v/>
      </c>
      <c r="Q99" s="8">
        <f>IF($E99*'설정'!$C$5*IF(('설정'!$C$31*IF($A99&gt;=31,1+'설정'!$C$14*'설정'!$E$31,1)/$D99)&lt;1,('설정'!$C$31*IF($A99&gt;=31,1+'설정'!$C$14*'설정'!$E$31,1)/$D99)^(-'설정'!$C$6),('설정'!$C$31*IF($A99&gt;=31,1+'설정'!$C$14*'설정'!$E$31,1)/$D99)^(-'설정'!$C$7))&gt;('설정'!$C$4+'설정'!$F$31+'설정'!$G$31),"실패",ROUND($E99*'설정'!$C$5*IF(('설정'!$C$31*IF($A99&gt;=31,1+'설정'!$C$14*'설정'!$E$31,1)/$D99)&lt;1,('설정'!$C$31*IF($A99&gt;=31,1+'설정'!$C$14*'설정'!$E$31,1)/$D99)^(-'설정'!$C$6),('설정'!$C$31*IF($A99&gt;=31,1+'설정'!$C$14*'설정'!$E$31,1)/$D99)^(-'설정'!$C$7)),0))</f>
        <v/>
      </c>
      <c r="R99" s="8">
        <f>IF($E99*'설정'!$C$5*IF(('설정'!$C$32*IF($A99&gt;=31,1+'설정'!$C$14*'설정'!$E$32,1)/$D99)&lt;1,('설정'!$C$32*IF($A99&gt;=31,1+'설정'!$C$14*'설정'!$E$32,1)/$D99)^(-'설정'!$C$6),('설정'!$C$32*IF($A99&gt;=31,1+'설정'!$C$14*'설정'!$E$32,1)/$D99)^(-'설정'!$C$7))&gt;('설정'!$C$4+'설정'!$F$32+'설정'!$G$32),"실패",ROUND($E99*'설정'!$C$5*IF(('설정'!$C$32*IF($A99&gt;=31,1+'설정'!$C$14*'설정'!$E$32,1)/$D99)&lt;1,('설정'!$C$32*IF($A99&gt;=31,1+'설정'!$C$14*'설정'!$E$32,1)/$D99)^(-'설정'!$C$6),('설정'!$C$32*IF($A99&gt;=31,1+'설정'!$C$14*'설정'!$E$32,1)/$D99)^(-'설정'!$C$7)),0))</f>
        <v/>
      </c>
      <c r="S99" s="8">
        <f>IF($E99*'설정'!$C$5*IF(('설정'!$C$33*IF($A99&gt;=31,1+'설정'!$C$14*'설정'!$E$33,1)/$D99)&lt;1,('설정'!$C$33*IF($A99&gt;=31,1+'설정'!$C$14*'설정'!$E$33,1)/$D99)^(-'설정'!$C$6),('설정'!$C$33*IF($A99&gt;=31,1+'설정'!$C$14*'설정'!$E$33,1)/$D99)^(-'설정'!$C$7))&gt;('설정'!$C$4+'설정'!$F$33+'설정'!$G$33),"실패",ROUND($E99*'설정'!$C$5*IF(('설정'!$C$33*IF($A99&gt;=31,1+'설정'!$C$14*'설정'!$E$33,1)/$D99)&lt;1,('설정'!$C$33*IF($A99&gt;=31,1+'설정'!$C$14*'설정'!$E$33,1)/$D99)^(-'설정'!$C$6),('설정'!$C$33*IF($A99&gt;=31,1+'설정'!$C$14*'설정'!$E$33,1)/$D99)^(-'설정'!$C$7)),0))</f>
        <v/>
      </c>
      <c r="T99" s="8">
        <f>IF($E99*'설정'!$C$5*IF(('설정'!$C$34*IF($A99&gt;=31,1+'설정'!$C$14*'설정'!$E$34,1)/$D99)&lt;1,('설정'!$C$34*IF($A99&gt;=31,1+'설정'!$C$14*'설정'!$E$34,1)/$D99)^(-'설정'!$C$6),('설정'!$C$34*IF($A99&gt;=31,1+'설정'!$C$14*'설정'!$E$34,1)/$D99)^(-'설정'!$C$7))&gt;('설정'!$C$4+'설정'!$F$34+'설정'!$G$34),"실패",ROUND($E99*'설정'!$C$5*IF(('설정'!$C$34*IF($A99&gt;=31,1+'설정'!$C$14*'설정'!$E$34,1)/$D99)&lt;1,('설정'!$C$34*IF($A99&gt;=31,1+'설정'!$C$14*'설정'!$E$34,1)/$D99)^(-'설정'!$C$6),('설정'!$C$34*IF($A99&gt;=31,1+'설정'!$C$14*'설정'!$E$34,1)/$D99)^(-'설정'!$C$7)),0))</f>
        <v/>
      </c>
      <c r="U99" s="8">
        <f>IF($E99*'설정'!$C$5*IF(('설정'!$C$35*IF($A99&gt;=31,1+'설정'!$C$14*'설정'!$E$35,1)/$D99)&lt;1,('설정'!$C$35*IF($A99&gt;=31,1+'설정'!$C$14*'설정'!$E$35,1)/$D99)^(-'설정'!$C$6),('설정'!$C$35*IF($A99&gt;=31,1+'설정'!$C$14*'설정'!$E$35,1)/$D99)^(-'설정'!$C$7))&gt;('설정'!$C$4+'설정'!$F$35+'설정'!$G$35),"실패",ROUND($E99*'설정'!$C$5*IF(('설정'!$C$35*IF($A99&gt;=31,1+'설정'!$C$14*'설정'!$E$35,1)/$D99)&lt;1,('설정'!$C$35*IF($A99&gt;=31,1+'설정'!$C$14*'설정'!$E$35,1)/$D99)^(-'설정'!$C$6),('설정'!$C$35*IF($A99&gt;=31,1+'설정'!$C$14*'설정'!$E$35,1)/$D99)^(-'설정'!$C$7)),0))</f>
        <v/>
      </c>
      <c r="V99" s="8">
        <f>IF($E99*'설정'!$C$5*IF(('설정'!$C$36*IF($A99&gt;=31,1+'설정'!$C$14*'설정'!$E$36,1)/$D99)&lt;1,('설정'!$C$36*IF($A99&gt;=31,1+'설정'!$C$14*'설정'!$E$36,1)/$D99)^(-'설정'!$C$6),('설정'!$C$36*IF($A99&gt;=31,1+'설정'!$C$14*'설정'!$E$36,1)/$D99)^(-'설정'!$C$7))&gt;('설정'!$C$4+'설정'!$F$36+'설정'!$G$36),"실패",ROUND($E99*'설정'!$C$5*IF(('설정'!$C$36*IF($A99&gt;=31,1+'설정'!$C$14*'설정'!$E$36,1)/$D99)&lt;1,('설정'!$C$36*IF($A99&gt;=31,1+'설정'!$C$14*'설정'!$E$36,1)/$D99)^(-'설정'!$C$6),('설정'!$C$36*IF($A99&gt;=31,1+'설정'!$C$14*'설정'!$E$36,1)/$D99)^(-'설정'!$C$7)),0))</f>
        <v/>
      </c>
      <c r="W99" s="8">
        <f>IF($E99*'설정'!$C$5*IF(('설정'!$C$37*IF($A99&gt;=31,1+'설정'!$C$14*'설정'!$E$37,1)/$D99)&lt;1,('설정'!$C$37*IF($A99&gt;=31,1+'설정'!$C$14*'설정'!$E$37,1)/$D99)^(-'설정'!$C$6),('설정'!$C$37*IF($A99&gt;=31,1+'설정'!$C$14*'설정'!$E$37,1)/$D99)^(-'설정'!$C$7))&gt;('설정'!$C$4+'설정'!$F$37+'설정'!$G$37),"실패",ROUND($E99*'설정'!$C$5*IF(('설정'!$C$37*IF($A99&gt;=31,1+'설정'!$C$14*'설정'!$E$37,1)/$D99)&lt;1,('설정'!$C$37*IF($A99&gt;=31,1+'설정'!$C$14*'설정'!$E$37,1)/$D99)^(-'설정'!$C$6),('설정'!$C$37*IF($A99&gt;=31,1+'설정'!$C$14*'설정'!$E$37,1)/$D99)^(-'설정'!$C$7)),0))</f>
        <v/>
      </c>
    </row>
    <row r="100">
      <c r="A100" t="n">
        <v>98</v>
      </c>
      <c r="B100" t="inlineStr">
        <is>
          <t>보통</t>
        </is>
      </c>
      <c r="C100" t="inlineStr"/>
      <c r="D100" s="6" t="n">
        <v>41400000</v>
      </c>
      <c r="E100" t="n">
        <v>72</v>
      </c>
      <c r="F100" s="6" t="n">
        <v>828000</v>
      </c>
      <c r="G100" t="n">
        <v>94</v>
      </c>
      <c r="H100" s="8">
        <f>IF($E100*'설정'!$C$5*IF(('설정'!$C$22*IF($A100&gt;=31,1+'설정'!$C$14*'설정'!$E$22,1)/$D100)&lt;1,('설정'!$C$22*IF($A100&gt;=31,1+'설정'!$C$14*'설정'!$E$22,1)/$D100)^(-'설정'!$C$6),('설정'!$C$22*IF($A100&gt;=31,1+'설정'!$C$14*'설정'!$E$22,1)/$D100)^(-'설정'!$C$7))&gt;('설정'!$C$4+'설정'!$F$22),"실패",ROUND($E100*'설정'!$C$5*IF(('설정'!$C$22*IF($A100&gt;=31,1+'설정'!$C$14*'설정'!$E$22,1)/$D100)&lt;1,('설정'!$C$22*IF($A100&gt;=31,1+'설정'!$C$14*'설정'!$E$22,1)/$D100)^(-'설정'!$C$6),('설정'!$C$22*IF($A100&gt;=31,1+'설정'!$C$14*'설정'!$E$22,1)/$D100)^(-'설정'!$C$7)),0))</f>
        <v/>
      </c>
      <c r="I100" s="8">
        <f>IF($E100*'설정'!$C$5*IF(('설정'!$C$23*IF($A100&gt;=31,1+'설정'!$C$14*'설정'!$E$23,1)/$D100)&lt;1,('설정'!$C$23*IF($A100&gt;=31,1+'설정'!$C$14*'설정'!$E$23,1)/$D100)^(-'설정'!$C$6),('설정'!$C$23*IF($A100&gt;=31,1+'설정'!$C$14*'설정'!$E$23,1)/$D100)^(-'설정'!$C$7))&gt;('설정'!$C$4+'설정'!$F$23),"실패",ROUND($E100*'설정'!$C$5*IF(('설정'!$C$23*IF($A100&gt;=31,1+'설정'!$C$14*'설정'!$E$23,1)/$D100)&lt;1,('설정'!$C$23*IF($A100&gt;=31,1+'설정'!$C$14*'설정'!$E$23,1)/$D100)^(-'설정'!$C$6),('설정'!$C$23*IF($A100&gt;=31,1+'설정'!$C$14*'설정'!$E$23,1)/$D100)^(-'설정'!$C$7)),0))</f>
        <v/>
      </c>
      <c r="J100" s="8">
        <f>IF($E100*'설정'!$C$5*IF(('설정'!$C$24*IF($A100&gt;=31,1+'설정'!$C$14*'설정'!$E$24,1)/$D100)&lt;1,('설정'!$C$24*IF($A100&gt;=31,1+'설정'!$C$14*'설정'!$E$24,1)/$D100)^(-'설정'!$C$6),('설정'!$C$24*IF($A100&gt;=31,1+'설정'!$C$14*'설정'!$E$24,1)/$D100)^(-'설정'!$C$7))&gt;('설정'!$C$4+'설정'!$F$24),"실패",ROUND($E100*'설정'!$C$5*IF(('설정'!$C$24*IF($A100&gt;=31,1+'설정'!$C$14*'설정'!$E$24,1)/$D100)&lt;1,('설정'!$C$24*IF($A100&gt;=31,1+'설정'!$C$14*'설정'!$E$24,1)/$D100)^(-'설정'!$C$6),('설정'!$C$24*IF($A100&gt;=31,1+'설정'!$C$14*'설정'!$E$24,1)/$D100)^(-'설정'!$C$7)),0))</f>
        <v/>
      </c>
      <c r="K100" s="8">
        <f>IF($E100*'설정'!$C$5*IF(('설정'!$C$25*IF($A100&gt;=31,1+'설정'!$C$14*'설정'!$E$25,1)/$D100)&lt;1,('설정'!$C$25*IF($A100&gt;=31,1+'설정'!$C$14*'설정'!$E$25,1)/$D100)^(-'설정'!$C$6),('설정'!$C$25*IF($A100&gt;=31,1+'설정'!$C$14*'설정'!$E$25,1)/$D100)^(-'설정'!$C$7))&gt;('설정'!$C$4+'설정'!$F$25),"실패",ROUND($E100*'설정'!$C$5*IF(('설정'!$C$25*IF($A100&gt;=31,1+'설정'!$C$14*'설정'!$E$25,1)/$D100)&lt;1,('설정'!$C$25*IF($A100&gt;=31,1+'설정'!$C$14*'설정'!$E$25,1)/$D100)^(-'설정'!$C$6),('설정'!$C$25*IF($A100&gt;=31,1+'설정'!$C$14*'설정'!$E$25,1)/$D100)^(-'설정'!$C$7)),0))</f>
        <v/>
      </c>
      <c r="L100" s="8">
        <f>IF($E100*'설정'!$C$5*IF(('설정'!$C$26*IF($A100&gt;=31,1+'설정'!$C$14*'설정'!$E$26,1)/$D100)&lt;1,('설정'!$C$26*IF($A100&gt;=31,1+'설정'!$C$14*'설정'!$E$26,1)/$D100)^(-'설정'!$C$6),('설정'!$C$26*IF($A100&gt;=31,1+'설정'!$C$14*'설정'!$E$26,1)/$D100)^(-'설정'!$C$7))&gt;('설정'!$C$4+'설정'!$F$26),"실패",ROUND($E100*'설정'!$C$5*IF(('설정'!$C$26*IF($A100&gt;=31,1+'설정'!$C$14*'설정'!$E$26,1)/$D100)&lt;1,('설정'!$C$26*IF($A100&gt;=31,1+'설정'!$C$14*'설정'!$E$26,1)/$D100)^(-'설정'!$C$6),('설정'!$C$26*IF($A100&gt;=31,1+'설정'!$C$14*'설정'!$E$26,1)/$D100)^(-'설정'!$C$7)),0))</f>
        <v/>
      </c>
      <c r="M100" s="8">
        <f>IF($E100*'설정'!$C$5*IF(('설정'!$C$27*IF($A100&gt;=31,1+'설정'!$C$14*'설정'!$E$27,1)/$D100)&lt;1,('설정'!$C$27*IF($A100&gt;=31,1+'설정'!$C$14*'설정'!$E$27,1)/$D100)^(-'설정'!$C$6),('설정'!$C$27*IF($A100&gt;=31,1+'설정'!$C$14*'설정'!$E$27,1)/$D100)^(-'설정'!$C$7))&gt;('설정'!$C$4+'설정'!$F$27),"실패",ROUND($E100*'설정'!$C$5*IF(('설정'!$C$27*IF($A100&gt;=31,1+'설정'!$C$14*'설정'!$E$27,1)/$D100)&lt;1,('설정'!$C$27*IF($A100&gt;=31,1+'설정'!$C$14*'설정'!$E$27,1)/$D100)^(-'설정'!$C$6),('설정'!$C$27*IF($A100&gt;=31,1+'설정'!$C$14*'설정'!$E$27,1)/$D100)^(-'설정'!$C$7)),0))</f>
        <v/>
      </c>
      <c r="N100" s="8">
        <f>IF($E100*'설정'!$C$5*IF(('설정'!$C$28*IF($A100&gt;=31,1+'설정'!$C$14*'설정'!$E$28,1)/$D100)&lt;1,('설정'!$C$28*IF($A100&gt;=31,1+'설정'!$C$14*'설정'!$E$28,1)/$D100)^(-'설정'!$C$6),('설정'!$C$28*IF($A100&gt;=31,1+'설정'!$C$14*'설정'!$E$28,1)/$D100)^(-'설정'!$C$7))&gt;('설정'!$C$4+'설정'!$F$28),"실패",ROUND($E100*'설정'!$C$5*IF(('설정'!$C$28*IF($A100&gt;=31,1+'설정'!$C$14*'설정'!$E$28,1)/$D100)&lt;1,('설정'!$C$28*IF($A100&gt;=31,1+'설정'!$C$14*'설정'!$E$28,1)/$D100)^(-'설정'!$C$6),('설정'!$C$28*IF($A100&gt;=31,1+'설정'!$C$14*'설정'!$E$28,1)/$D100)^(-'설정'!$C$7)),0))</f>
        <v/>
      </c>
      <c r="O100" s="8">
        <f>IF($E100*'설정'!$C$5*IF(('설정'!$C$29*IF($A100&gt;=31,1+'설정'!$C$14*'설정'!$E$29,1)/$D100)&lt;1,('설정'!$C$29*IF($A100&gt;=31,1+'설정'!$C$14*'설정'!$E$29,1)/$D100)^(-'설정'!$C$6),('설정'!$C$29*IF($A100&gt;=31,1+'설정'!$C$14*'설정'!$E$29,1)/$D100)^(-'설정'!$C$7))&gt;('설정'!$C$4+'설정'!$F$29),"실패",ROUND($E100*'설정'!$C$5*IF(('설정'!$C$29*IF($A100&gt;=31,1+'설정'!$C$14*'설정'!$E$29,1)/$D100)&lt;1,('설정'!$C$29*IF($A100&gt;=31,1+'설정'!$C$14*'설정'!$E$29,1)/$D100)^(-'설정'!$C$6),('설정'!$C$29*IF($A100&gt;=31,1+'설정'!$C$14*'설정'!$E$29,1)/$D100)^(-'설정'!$C$7)),0))</f>
        <v/>
      </c>
      <c r="P100" s="8">
        <f>IF($E100*'설정'!$C$5*IF(('설정'!$C$30*IF($A100&gt;=31,1+'설정'!$C$14*'설정'!$E$30,1)/$D100)&lt;1,('설정'!$C$30*IF($A100&gt;=31,1+'설정'!$C$14*'설정'!$E$30,1)/$D100)^(-'설정'!$C$6),('설정'!$C$30*IF($A100&gt;=31,1+'설정'!$C$14*'설정'!$E$30,1)/$D100)^(-'설정'!$C$7))&gt;('설정'!$C$4+'설정'!$F$30),"실패",ROUND($E100*'설정'!$C$5*IF(('설정'!$C$30*IF($A100&gt;=31,1+'설정'!$C$14*'설정'!$E$30,1)/$D100)&lt;1,('설정'!$C$30*IF($A100&gt;=31,1+'설정'!$C$14*'설정'!$E$30,1)/$D100)^(-'설정'!$C$6),('설정'!$C$30*IF($A100&gt;=31,1+'설정'!$C$14*'설정'!$E$30,1)/$D100)^(-'설정'!$C$7)),0))</f>
        <v/>
      </c>
      <c r="Q100" s="8">
        <f>IF($E100*'설정'!$C$5*IF(('설정'!$C$31*IF($A100&gt;=31,1+'설정'!$C$14*'설정'!$E$31,1)/$D100)&lt;1,('설정'!$C$31*IF($A100&gt;=31,1+'설정'!$C$14*'설정'!$E$31,1)/$D100)^(-'설정'!$C$6),('설정'!$C$31*IF($A100&gt;=31,1+'설정'!$C$14*'설정'!$E$31,1)/$D100)^(-'설정'!$C$7))&gt;('설정'!$C$4+'설정'!$F$31),"실패",ROUND($E100*'설정'!$C$5*IF(('설정'!$C$31*IF($A100&gt;=31,1+'설정'!$C$14*'설정'!$E$31,1)/$D100)&lt;1,('설정'!$C$31*IF($A100&gt;=31,1+'설정'!$C$14*'설정'!$E$31,1)/$D100)^(-'설정'!$C$6),('설정'!$C$31*IF($A100&gt;=31,1+'설정'!$C$14*'설정'!$E$31,1)/$D100)^(-'설정'!$C$7)),0))</f>
        <v/>
      </c>
      <c r="R100" s="8">
        <f>IF($E100*'설정'!$C$5*IF(('설정'!$C$32*IF($A100&gt;=31,1+'설정'!$C$14*'설정'!$E$32,1)/$D100)&lt;1,('설정'!$C$32*IF($A100&gt;=31,1+'설정'!$C$14*'설정'!$E$32,1)/$D100)^(-'설정'!$C$6),('설정'!$C$32*IF($A100&gt;=31,1+'설정'!$C$14*'설정'!$E$32,1)/$D100)^(-'설정'!$C$7))&gt;('설정'!$C$4+'설정'!$F$32),"실패",ROUND($E100*'설정'!$C$5*IF(('설정'!$C$32*IF($A100&gt;=31,1+'설정'!$C$14*'설정'!$E$32,1)/$D100)&lt;1,('설정'!$C$32*IF($A100&gt;=31,1+'설정'!$C$14*'설정'!$E$32,1)/$D100)^(-'설정'!$C$6),('설정'!$C$32*IF($A100&gt;=31,1+'설정'!$C$14*'설정'!$E$32,1)/$D100)^(-'설정'!$C$7)),0))</f>
        <v/>
      </c>
      <c r="S100" s="8">
        <f>IF($E100*'설정'!$C$5*IF(('설정'!$C$33*IF($A100&gt;=31,1+'설정'!$C$14*'설정'!$E$33,1)/$D100)&lt;1,('설정'!$C$33*IF($A100&gt;=31,1+'설정'!$C$14*'설정'!$E$33,1)/$D100)^(-'설정'!$C$6),('설정'!$C$33*IF($A100&gt;=31,1+'설정'!$C$14*'설정'!$E$33,1)/$D100)^(-'설정'!$C$7))&gt;('설정'!$C$4+'설정'!$F$33),"실패",ROUND($E100*'설정'!$C$5*IF(('설정'!$C$33*IF($A100&gt;=31,1+'설정'!$C$14*'설정'!$E$33,1)/$D100)&lt;1,('설정'!$C$33*IF($A100&gt;=31,1+'설정'!$C$14*'설정'!$E$33,1)/$D100)^(-'설정'!$C$6),('설정'!$C$33*IF($A100&gt;=31,1+'설정'!$C$14*'설정'!$E$33,1)/$D100)^(-'설정'!$C$7)),0))</f>
        <v/>
      </c>
      <c r="T100" s="8">
        <f>IF($E100*'설정'!$C$5*IF(('설정'!$C$34*IF($A100&gt;=31,1+'설정'!$C$14*'설정'!$E$34,1)/$D100)&lt;1,('설정'!$C$34*IF($A100&gt;=31,1+'설정'!$C$14*'설정'!$E$34,1)/$D100)^(-'설정'!$C$6),('설정'!$C$34*IF($A100&gt;=31,1+'설정'!$C$14*'설정'!$E$34,1)/$D100)^(-'설정'!$C$7))&gt;('설정'!$C$4+'설정'!$F$34),"실패",ROUND($E100*'설정'!$C$5*IF(('설정'!$C$34*IF($A100&gt;=31,1+'설정'!$C$14*'설정'!$E$34,1)/$D100)&lt;1,('설정'!$C$34*IF($A100&gt;=31,1+'설정'!$C$14*'설정'!$E$34,1)/$D100)^(-'설정'!$C$6),('설정'!$C$34*IF($A100&gt;=31,1+'설정'!$C$14*'설정'!$E$34,1)/$D100)^(-'설정'!$C$7)),0))</f>
        <v/>
      </c>
      <c r="U100" s="8">
        <f>IF($E100*'설정'!$C$5*IF(('설정'!$C$35*IF($A100&gt;=31,1+'설정'!$C$14*'설정'!$E$35,1)/$D100)&lt;1,('설정'!$C$35*IF($A100&gt;=31,1+'설정'!$C$14*'설정'!$E$35,1)/$D100)^(-'설정'!$C$6),('설정'!$C$35*IF($A100&gt;=31,1+'설정'!$C$14*'설정'!$E$35,1)/$D100)^(-'설정'!$C$7))&gt;('설정'!$C$4+'설정'!$F$35),"실패",ROUND($E100*'설정'!$C$5*IF(('설정'!$C$35*IF($A100&gt;=31,1+'설정'!$C$14*'설정'!$E$35,1)/$D100)&lt;1,('설정'!$C$35*IF($A100&gt;=31,1+'설정'!$C$14*'설정'!$E$35,1)/$D100)^(-'설정'!$C$6),('설정'!$C$35*IF($A100&gt;=31,1+'설정'!$C$14*'설정'!$E$35,1)/$D100)^(-'설정'!$C$7)),0))</f>
        <v/>
      </c>
      <c r="V100" s="8">
        <f>IF($E100*'설정'!$C$5*IF(('설정'!$C$36*IF($A100&gt;=31,1+'설정'!$C$14*'설정'!$E$36,1)/$D100)&lt;1,('설정'!$C$36*IF($A100&gt;=31,1+'설정'!$C$14*'설정'!$E$36,1)/$D100)^(-'설정'!$C$6),('설정'!$C$36*IF($A100&gt;=31,1+'설정'!$C$14*'설정'!$E$36,1)/$D100)^(-'설정'!$C$7))&gt;('설정'!$C$4+'설정'!$F$36),"실패",ROUND($E100*'설정'!$C$5*IF(('설정'!$C$36*IF($A100&gt;=31,1+'설정'!$C$14*'설정'!$E$36,1)/$D100)&lt;1,('설정'!$C$36*IF($A100&gt;=31,1+'설정'!$C$14*'설정'!$E$36,1)/$D100)^(-'설정'!$C$6),('설정'!$C$36*IF($A100&gt;=31,1+'설정'!$C$14*'설정'!$E$36,1)/$D100)^(-'설정'!$C$7)),0))</f>
        <v/>
      </c>
      <c r="W100" s="8">
        <f>IF($E100*'설정'!$C$5*IF(('설정'!$C$37*IF($A100&gt;=31,1+'설정'!$C$14*'설정'!$E$37,1)/$D100)&lt;1,('설정'!$C$37*IF($A100&gt;=31,1+'설정'!$C$14*'설정'!$E$37,1)/$D100)^(-'설정'!$C$6),('설정'!$C$37*IF($A100&gt;=31,1+'설정'!$C$14*'설정'!$E$37,1)/$D100)^(-'설정'!$C$7))&gt;('설정'!$C$4+'설정'!$F$37),"실패",ROUND($E100*'설정'!$C$5*IF(('설정'!$C$37*IF($A100&gt;=31,1+'설정'!$C$14*'설정'!$E$37,1)/$D100)&lt;1,('설정'!$C$37*IF($A100&gt;=31,1+'설정'!$C$14*'설정'!$E$37,1)/$D100)^(-'설정'!$C$6),('설정'!$C$37*IF($A100&gt;=31,1+'설정'!$C$14*'설정'!$E$37,1)/$D100)^(-'설정'!$C$7)),0))</f>
        <v/>
      </c>
    </row>
    <row r="101">
      <c r="A101" t="n">
        <v>99</v>
      </c>
      <c r="B101" t="inlineStr">
        <is>
          <t>어려움</t>
        </is>
      </c>
      <c r="C101" t="inlineStr"/>
      <c r="D101" s="6" t="n">
        <v>43000000</v>
      </c>
      <c r="E101" t="n">
        <v>90</v>
      </c>
      <c r="F101" s="6" t="n">
        <v>860000</v>
      </c>
      <c r="G101" t="n">
        <v>95</v>
      </c>
      <c r="H101" s="8">
        <f>IF($E101*'설정'!$C$5*IF(('설정'!$C$22*IF($A101&gt;=31,1+'설정'!$C$14*'설정'!$E$22,1)/$D101)&lt;1,('설정'!$C$22*IF($A101&gt;=31,1+'설정'!$C$14*'설정'!$E$22,1)/$D101)^(-'설정'!$C$6),('설정'!$C$22*IF($A101&gt;=31,1+'설정'!$C$14*'설정'!$E$22,1)/$D101)^(-'설정'!$C$7))&gt;('설정'!$C$4+'설정'!$F$22),"실패",ROUND($E101*'설정'!$C$5*IF(('설정'!$C$22*IF($A101&gt;=31,1+'설정'!$C$14*'설정'!$E$22,1)/$D101)&lt;1,('설정'!$C$22*IF($A101&gt;=31,1+'설정'!$C$14*'설정'!$E$22,1)/$D101)^(-'설정'!$C$6),('설정'!$C$22*IF($A101&gt;=31,1+'설정'!$C$14*'설정'!$E$22,1)/$D101)^(-'설정'!$C$7)),0))</f>
        <v/>
      </c>
      <c r="I101" s="8">
        <f>IF($E101*'설정'!$C$5*IF(('설정'!$C$23*IF($A101&gt;=31,1+'설정'!$C$14*'설정'!$E$23,1)/$D101)&lt;1,('설정'!$C$23*IF($A101&gt;=31,1+'설정'!$C$14*'설정'!$E$23,1)/$D101)^(-'설정'!$C$6),('설정'!$C$23*IF($A101&gt;=31,1+'설정'!$C$14*'설정'!$E$23,1)/$D101)^(-'설정'!$C$7))&gt;('설정'!$C$4+'설정'!$F$23),"실패",ROUND($E101*'설정'!$C$5*IF(('설정'!$C$23*IF($A101&gt;=31,1+'설정'!$C$14*'설정'!$E$23,1)/$D101)&lt;1,('설정'!$C$23*IF($A101&gt;=31,1+'설정'!$C$14*'설정'!$E$23,1)/$D101)^(-'설정'!$C$6),('설정'!$C$23*IF($A101&gt;=31,1+'설정'!$C$14*'설정'!$E$23,1)/$D101)^(-'설정'!$C$7)),0))</f>
        <v/>
      </c>
      <c r="J101" s="8">
        <f>IF($E101*'설정'!$C$5*IF(('설정'!$C$24*IF($A101&gt;=31,1+'설정'!$C$14*'설정'!$E$24,1)/$D101)&lt;1,('설정'!$C$24*IF($A101&gt;=31,1+'설정'!$C$14*'설정'!$E$24,1)/$D101)^(-'설정'!$C$6),('설정'!$C$24*IF($A101&gt;=31,1+'설정'!$C$14*'설정'!$E$24,1)/$D101)^(-'설정'!$C$7))&gt;('설정'!$C$4+'설정'!$F$24),"실패",ROUND($E101*'설정'!$C$5*IF(('설정'!$C$24*IF($A101&gt;=31,1+'설정'!$C$14*'설정'!$E$24,1)/$D101)&lt;1,('설정'!$C$24*IF($A101&gt;=31,1+'설정'!$C$14*'설정'!$E$24,1)/$D101)^(-'설정'!$C$6),('설정'!$C$24*IF($A101&gt;=31,1+'설정'!$C$14*'설정'!$E$24,1)/$D101)^(-'설정'!$C$7)),0))</f>
        <v/>
      </c>
      <c r="K101" s="8">
        <f>IF($E101*'설정'!$C$5*IF(('설정'!$C$25*IF($A101&gt;=31,1+'설정'!$C$14*'설정'!$E$25,1)/$D101)&lt;1,('설정'!$C$25*IF($A101&gt;=31,1+'설정'!$C$14*'설정'!$E$25,1)/$D101)^(-'설정'!$C$6),('설정'!$C$25*IF($A101&gt;=31,1+'설정'!$C$14*'설정'!$E$25,1)/$D101)^(-'설정'!$C$7))&gt;('설정'!$C$4+'설정'!$F$25),"실패",ROUND($E101*'설정'!$C$5*IF(('설정'!$C$25*IF($A101&gt;=31,1+'설정'!$C$14*'설정'!$E$25,1)/$D101)&lt;1,('설정'!$C$25*IF($A101&gt;=31,1+'설정'!$C$14*'설정'!$E$25,1)/$D101)^(-'설정'!$C$6),('설정'!$C$25*IF($A101&gt;=31,1+'설정'!$C$14*'설정'!$E$25,1)/$D101)^(-'설정'!$C$7)),0))</f>
        <v/>
      </c>
      <c r="L101" s="8">
        <f>IF($E101*'설정'!$C$5*IF(('설정'!$C$26*IF($A101&gt;=31,1+'설정'!$C$14*'설정'!$E$26,1)/$D101)&lt;1,('설정'!$C$26*IF($A101&gt;=31,1+'설정'!$C$14*'설정'!$E$26,1)/$D101)^(-'설정'!$C$6),('설정'!$C$26*IF($A101&gt;=31,1+'설정'!$C$14*'설정'!$E$26,1)/$D101)^(-'설정'!$C$7))&gt;('설정'!$C$4+'설정'!$F$26),"실패",ROUND($E101*'설정'!$C$5*IF(('설정'!$C$26*IF($A101&gt;=31,1+'설정'!$C$14*'설정'!$E$26,1)/$D101)&lt;1,('설정'!$C$26*IF($A101&gt;=31,1+'설정'!$C$14*'설정'!$E$26,1)/$D101)^(-'설정'!$C$6),('설정'!$C$26*IF($A101&gt;=31,1+'설정'!$C$14*'설정'!$E$26,1)/$D101)^(-'설정'!$C$7)),0))</f>
        <v/>
      </c>
      <c r="M101" s="8">
        <f>IF($E101*'설정'!$C$5*IF(('설정'!$C$27*IF($A101&gt;=31,1+'설정'!$C$14*'설정'!$E$27,1)/$D101)&lt;1,('설정'!$C$27*IF($A101&gt;=31,1+'설정'!$C$14*'설정'!$E$27,1)/$D101)^(-'설정'!$C$6),('설정'!$C$27*IF($A101&gt;=31,1+'설정'!$C$14*'설정'!$E$27,1)/$D101)^(-'설정'!$C$7))&gt;('설정'!$C$4+'설정'!$F$27),"실패",ROUND($E101*'설정'!$C$5*IF(('설정'!$C$27*IF($A101&gt;=31,1+'설정'!$C$14*'설정'!$E$27,1)/$D101)&lt;1,('설정'!$C$27*IF($A101&gt;=31,1+'설정'!$C$14*'설정'!$E$27,1)/$D101)^(-'설정'!$C$6),('설정'!$C$27*IF($A101&gt;=31,1+'설정'!$C$14*'설정'!$E$27,1)/$D101)^(-'설정'!$C$7)),0))</f>
        <v/>
      </c>
      <c r="N101" s="8">
        <f>IF($E101*'설정'!$C$5*IF(('설정'!$C$28*IF($A101&gt;=31,1+'설정'!$C$14*'설정'!$E$28,1)/$D101)&lt;1,('설정'!$C$28*IF($A101&gt;=31,1+'설정'!$C$14*'설정'!$E$28,1)/$D101)^(-'설정'!$C$6),('설정'!$C$28*IF($A101&gt;=31,1+'설정'!$C$14*'설정'!$E$28,1)/$D101)^(-'설정'!$C$7))&gt;('설정'!$C$4+'설정'!$F$28),"실패",ROUND($E101*'설정'!$C$5*IF(('설정'!$C$28*IF($A101&gt;=31,1+'설정'!$C$14*'설정'!$E$28,1)/$D101)&lt;1,('설정'!$C$28*IF($A101&gt;=31,1+'설정'!$C$14*'설정'!$E$28,1)/$D101)^(-'설정'!$C$6),('설정'!$C$28*IF($A101&gt;=31,1+'설정'!$C$14*'설정'!$E$28,1)/$D101)^(-'설정'!$C$7)),0))</f>
        <v/>
      </c>
      <c r="O101" s="8">
        <f>IF($E101*'설정'!$C$5*IF(('설정'!$C$29*IF($A101&gt;=31,1+'설정'!$C$14*'설정'!$E$29,1)/$D101)&lt;1,('설정'!$C$29*IF($A101&gt;=31,1+'설정'!$C$14*'설정'!$E$29,1)/$D101)^(-'설정'!$C$6),('설정'!$C$29*IF($A101&gt;=31,1+'설정'!$C$14*'설정'!$E$29,1)/$D101)^(-'설정'!$C$7))&gt;('설정'!$C$4+'설정'!$F$29),"실패",ROUND($E101*'설정'!$C$5*IF(('설정'!$C$29*IF($A101&gt;=31,1+'설정'!$C$14*'설정'!$E$29,1)/$D101)&lt;1,('설정'!$C$29*IF($A101&gt;=31,1+'설정'!$C$14*'설정'!$E$29,1)/$D101)^(-'설정'!$C$6),('설정'!$C$29*IF($A101&gt;=31,1+'설정'!$C$14*'설정'!$E$29,1)/$D101)^(-'설정'!$C$7)),0))</f>
        <v/>
      </c>
      <c r="P101" s="8">
        <f>IF($E101*'설정'!$C$5*IF(('설정'!$C$30*IF($A101&gt;=31,1+'설정'!$C$14*'설정'!$E$30,1)/$D101)&lt;1,('설정'!$C$30*IF($A101&gt;=31,1+'설정'!$C$14*'설정'!$E$30,1)/$D101)^(-'설정'!$C$6),('설정'!$C$30*IF($A101&gt;=31,1+'설정'!$C$14*'설정'!$E$30,1)/$D101)^(-'설정'!$C$7))&gt;('설정'!$C$4+'설정'!$F$30),"실패",ROUND($E101*'설정'!$C$5*IF(('설정'!$C$30*IF($A101&gt;=31,1+'설정'!$C$14*'설정'!$E$30,1)/$D101)&lt;1,('설정'!$C$30*IF($A101&gt;=31,1+'설정'!$C$14*'설정'!$E$30,1)/$D101)^(-'설정'!$C$6),('설정'!$C$30*IF($A101&gt;=31,1+'설정'!$C$14*'설정'!$E$30,1)/$D101)^(-'설정'!$C$7)),0))</f>
        <v/>
      </c>
      <c r="Q101" s="8">
        <f>IF($E101*'설정'!$C$5*IF(('설정'!$C$31*IF($A101&gt;=31,1+'설정'!$C$14*'설정'!$E$31,1)/$D101)&lt;1,('설정'!$C$31*IF($A101&gt;=31,1+'설정'!$C$14*'설정'!$E$31,1)/$D101)^(-'설정'!$C$6),('설정'!$C$31*IF($A101&gt;=31,1+'설정'!$C$14*'설정'!$E$31,1)/$D101)^(-'설정'!$C$7))&gt;('설정'!$C$4+'설정'!$F$31),"실패",ROUND($E101*'설정'!$C$5*IF(('설정'!$C$31*IF($A101&gt;=31,1+'설정'!$C$14*'설정'!$E$31,1)/$D101)&lt;1,('설정'!$C$31*IF($A101&gt;=31,1+'설정'!$C$14*'설정'!$E$31,1)/$D101)^(-'설정'!$C$6),('설정'!$C$31*IF($A101&gt;=31,1+'설정'!$C$14*'설정'!$E$31,1)/$D101)^(-'설정'!$C$7)),0))</f>
        <v/>
      </c>
      <c r="R101" s="8">
        <f>IF($E101*'설정'!$C$5*IF(('설정'!$C$32*IF($A101&gt;=31,1+'설정'!$C$14*'설정'!$E$32,1)/$D101)&lt;1,('설정'!$C$32*IF($A101&gt;=31,1+'설정'!$C$14*'설정'!$E$32,1)/$D101)^(-'설정'!$C$6),('설정'!$C$32*IF($A101&gt;=31,1+'설정'!$C$14*'설정'!$E$32,1)/$D101)^(-'설정'!$C$7))&gt;('설정'!$C$4+'설정'!$F$32),"실패",ROUND($E101*'설정'!$C$5*IF(('설정'!$C$32*IF($A101&gt;=31,1+'설정'!$C$14*'설정'!$E$32,1)/$D101)&lt;1,('설정'!$C$32*IF($A101&gt;=31,1+'설정'!$C$14*'설정'!$E$32,1)/$D101)^(-'설정'!$C$6),('설정'!$C$32*IF($A101&gt;=31,1+'설정'!$C$14*'설정'!$E$32,1)/$D101)^(-'설정'!$C$7)),0))</f>
        <v/>
      </c>
      <c r="S101" s="8">
        <f>IF($E101*'설정'!$C$5*IF(('설정'!$C$33*IF($A101&gt;=31,1+'설정'!$C$14*'설정'!$E$33,1)/$D101)&lt;1,('설정'!$C$33*IF($A101&gt;=31,1+'설정'!$C$14*'설정'!$E$33,1)/$D101)^(-'설정'!$C$6),('설정'!$C$33*IF($A101&gt;=31,1+'설정'!$C$14*'설정'!$E$33,1)/$D101)^(-'설정'!$C$7))&gt;('설정'!$C$4+'설정'!$F$33),"실패",ROUND($E101*'설정'!$C$5*IF(('설정'!$C$33*IF($A101&gt;=31,1+'설정'!$C$14*'설정'!$E$33,1)/$D101)&lt;1,('설정'!$C$33*IF($A101&gt;=31,1+'설정'!$C$14*'설정'!$E$33,1)/$D101)^(-'설정'!$C$6),('설정'!$C$33*IF($A101&gt;=31,1+'설정'!$C$14*'설정'!$E$33,1)/$D101)^(-'설정'!$C$7)),0))</f>
        <v/>
      </c>
      <c r="T101" s="8">
        <f>IF($E101*'설정'!$C$5*IF(('설정'!$C$34*IF($A101&gt;=31,1+'설정'!$C$14*'설정'!$E$34,1)/$D101)&lt;1,('설정'!$C$34*IF($A101&gt;=31,1+'설정'!$C$14*'설정'!$E$34,1)/$D101)^(-'설정'!$C$6),('설정'!$C$34*IF($A101&gt;=31,1+'설정'!$C$14*'설정'!$E$34,1)/$D101)^(-'설정'!$C$7))&gt;('설정'!$C$4+'설정'!$F$34),"실패",ROUND($E101*'설정'!$C$5*IF(('설정'!$C$34*IF($A101&gt;=31,1+'설정'!$C$14*'설정'!$E$34,1)/$D101)&lt;1,('설정'!$C$34*IF($A101&gt;=31,1+'설정'!$C$14*'설정'!$E$34,1)/$D101)^(-'설정'!$C$6),('설정'!$C$34*IF($A101&gt;=31,1+'설정'!$C$14*'설정'!$E$34,1)/$D101)^(-'설정'!$C$7)),0))</f>
        <v/>
      </c>
      <c r="U101" s="8">
        <f>IF($E101*'설정'!$C$5*IF(('설정'!$C$35*IF($A101&gt;=31,1+'설정'!$C$14*'설정'!$E$35,1)/$D101)&lt;1,('설정'!$C$35*IF($A101&gt;=31,1+'설정'!$C$14*'설정'!$E$35,1)/$D101)^(-'설정'!$C$6),('설정'!$C$35*IF($A101&gt;=31,1+'설정'!$C$14*'설정'!$E$35,1)/$D101)^(-'설정'!$C$7))&gt;('설정'!$C$4+'설정'!$F$35),"실패",ROUND($E101*'설정'!$C$5*IF(('설정'!$C$35*IF($A101&gt;=31,1+'설정'!$C$14*'설정'!$E$35,1)/$D101)&lt;1,('설정'!$C$35*IF($A101&gt;=31,1+'설정'!$C$14*'설정'!$E$35,1)/$D101)^(-'설정'!$C$6),('설정'!$C$35*IF($A101&gt;=31,1+'설정'!$C$14*'설정'!$E$35,1)/$D101)^(-'설정'!$C$7)),0))</f>
        <v/>
      </c>
      <c r="V101" s="8">
        <f>IF($E101*'설정'!$C$5*IF(('설정'!$C$36*IF($A101&gt;=31,1+'설정'!$C$14*'설정'!$E$36,1)/$D101)&lt;1,('설정'!$C$36*IF($A101&gt;=31,1+'설정'!$C$14*'설정'!$E$36,1)/$D101)^(-'설정'!$C$6),('설정'!$C$36*IF($A101&gt;=31,1+'설정'!$C$14*'설정'!$E$36,1)/$D101)^(-'설정'!$C$7))&gt;('설정'!$C$4+'설정'!$F$36),"실패",ROUND($E101*'설정'!$C$5*IF(('설정'!$C$36*IF($A101&gt;=31,1+'설정'!$C$14*'설정'!$E$36,1)/$D101)&lt;1,('설정'!$C$36*IF($A101&gt;=31,1+'설정'!$C$14*'설정'!$E$36,1)/$D101)^(-'설정'!$C$6),('설정'!$C$36*IF($A101&gt;=31,1+'설정'!$C$14*'설정'!$E$36,1)/$D101)^(-'설정'!$C$7)),0))</f>
        <v/>
      </c>
      <c r="W101" s="8">
        <f>IF($E101*'설정'!$C$5*IF(('설정'!$C$37*IF($A101&gt;=31,1+'설정'!$C$14*'설정'!$E$37,1)/$D101)&lt;1,('설정'!$C$37*IF($A101&gt;=31,1+'설정'!$C$14*'설정'!$E$37,1)/$D101)^(-'설정'!$C$6),('설정'!$C$37*IF($A101&gt;=31,1+'설정'!$C$14*'설정'!$E$37,1)/$D101)^(-'설정'!$C$7))&gt;('설정'!$C$4+'설정'!$F$37),"실패",ROUND($E101*'설정'!$C$5*IF(('설정'!$C$37*IF($A101&gt;=31,1+'설정'!$C$14*'설정'!$E$37,1)/$D101)&lt;1,('설정'!$C$37*IF($A101&gt;=31,1+'설정'!$C$14*'설정'!$E$37,1)/$D101)^(-'설정'!$C$6),('설정'!$C$37*IF($A101&gt;=31,1+'설정'!$C$14*'설정'!$E$37,1)/$D101)^(-'설정'!$C$7)),0))</f>
        <v/>
      </c>
    </row>
    <row r="102">
      <c r="A102" s="4" t="n">
        <v>100</v>
      </c>
      <c r="B102" s="4" t="inlineStr">
        <is>
          <t>허들</t>
        </is>
      </c>
      <c r="C102" s="4" t="inlineStr">
        <is>
          <t>보스</t>
        </is>
      </c>
      <c r="D102" s="9" t="n">
        <v>71400000</v>
      </c>
      <c r="E102" s="4" t="n">
        <v>161.7</v>
      </c>
      <c r="F102" s="9" t="n">
        <v>1430000</v>
      </c>
      <c r="G102" s="4" t="n">
        <v>100</v>
      </c>
      <c r="H102" s="8">
        <f>IF($E102*'설정'!$C$5*IF(('설정'!$C$22*IF($A102&gt;=31,1+'설정'!$C$14*'설정'!$E$22,1)/$D102)&lt;1,('설정'!$C$22*IF($A102&gt;=31,1+'설정'!$C$14*'설정'!$E$22,1)/$D102)^(-'설정'!$C$6),('설정'!$C$22*IF($A102&gt;=31,1+'설정'!$C$14*'설정'!$E$22,1)/$D102)^(-'설정'!$C$7))&gt;('설정'!$C$4+'설정'!$F$22+'설정'!$G$22),"실패",ROUND($E102*'설정'!$C$5*IF(('설정'!$C$22*IF($A102&gt;=31,1+'설정'!$C$14*'설정'!$E$22,1)/$D102)&lt;1,('설정'!$C$22*IF($A102&gt;=31,1+'설정'!$C$14*'설정'!$E$22,1)/$D102)^(-'설정'!$C$6),('설정'!$C$22*IF($A102&gt;=31,1+'설정'!$C$14*'설정'!$E$22,1)/$D102)^(-'설정'!$C$7)),0))</f>
        <v/>
      </c>
      <c r="I102" s="8">
        <f>IF($E102*'설정'!$C$5*IF(('설정'!$C$23*IF($A102&gt;=31,1+'설정'!$C$14*'설정'!$E$23,1)/$D102)&lt;1,('설정'!$C$23*IF($A102&gt;=31,1+'설정'!$C$14*'설정'!$E$23,1)/$D102)^(-'설정'!$C$6),('설정'!$C$23*IF($A102&gt;=31,1+'설정'!$C$14*'설정'!$E$23,1)/$D102)^(-'설정'!$C$7))&gt;('설정'!$C$4+'설정'!$F$23+'설정'!$G$23),"실패",ROUND($E102*'설정'!$C$5*IF(('설정'!$C$23*IF($A102&gt;=31,1+'설정'!$C$14*'설정'!$E$23,1)/$D102)&lt;1,('설정'!$C$23*IF($A102&gt;=31,1+'설정'!$C$14*'설정'!$E$23,1)/$D102)^(-'설정'!$C$6),('설정'!$C$23*IF($A102&gt;=31,1+'설정'!$C$14*'설정'!$E$23,1)/$D102)^(-'설정'!$C$7)),0))</f>
        <v/>
      </c>
      <c r="J102" s="8">
        <f>IF($E102*'설정'!$C$5*IF(('설정'!$C$24*IF($A102&gt;=31,1+'설정'!$C$14*'설정'!$E$24,1)/$D102)&lt;1,('설정'!$C$24*IF($A102&gt;=31,1+'설정'!$C$14*'설정'!$E$24,1)/$D102)^(-'설정'!$C$6),('설정'!$C$24*IF($A102&gt;=31,1+'설정'!$C$14*'설정'!$E$24,1)/$D102)^(-'설정'!$C$7))&gt;('설정'!$C$4+'설정'!$F$24+'설정'!$G$24),"실패",ROUND($E102*'설정'!$C$5*IF(('설정'!$C$24*IF($A102&gt;=31,1+'설정'!$C$14*'설정'!$E$24,1)/$D102)&lt;1,('설정'!$C$24*IF($A102&gt;=31,1+'설정'!$C$14*'설정'!$E$24,1)/$D102)^(-'설정'!$C$6),('설정'!$C$24*IF($A102&gt;=31,1+'설정'!$C$14*'설정'!$E$24,1)/$D102)^(-'설정'!$C$7)),0))</f>
        <v/>
      </c>
      <c r="K102" s="8">
        <f>IF($E102*'설정'!$C$5*IF(('설정'!$C$25*IF($A102&gt;=31,1+'설정'!$C$14*'설정'!$E$25,1)/$D102)&lt;1,('설정'!$C$25*IF($A102&gt;=31,1+'설정'!$C$14*'설정'!$E$25,1)/$D102)^(-'설정'!$C$6),('설정'!$C$25*IF($A102&gt;=31,1+'설정'!$C$14*'설정'!$E$25,1)/$D102)^(-'설정'!$C$7))&gt;('설정'!$C$4+'설정'!$F$25+'설정'!$G$25),"실패",ROUND($E102*'설정'!$C$5*IF(('설정'!$C$25*IF($A102&gt;=31,1+'설정'!$C$14*'설정'!$E$25,1)/$D102)&lt;1,('설정'!$C$25*IF($A102&gt;=31,1+'설정'!$C$14*'설정'!$E$25,1)/$D102)^(-'설정'!$C$6),('설정'!$C$25*IF($A102&gt;=31,1+'설정'!$C$14*'설정'!$E$25,1)/$D102)^(-'설정'!$C$7)),0))</f>
        <v/>
      </c>
      <c r="L102" s="8">
        <f>IF($E102*'설정'!$C$5*IF(('설정'!$C$26*IF($A102&gt;=31,1+'설정'!$C$14*'설정'!$E$26,1)/$D102)&lt;1,('설정'!$C$26*IF($A102&gt;=31,1+'설정'!$C$14*'설정'!$E$26,1)/$D102)^(-'설정'!$C$6),('설정'!$C$26*IF($A102&gt;=31,1+'설정'!$C$14*'설정'!$E$26,1)/$D102)^(-'설정'!$C$7))&gt;('설정'!$C$4+'설정'!$F$26+'설정'!$G$26),"실패",ROUND($E102*'설정'!$C$5*IF(('설정'!$C$26*IF($A102&gt;=31,1+'설정'!$C$14*'설정'!$E$26,1)/$D102)&lt;1,('설정'!$C$26*IF($A102&gt;=31,1+'설정'!$C$14*'설정'!$E$26,1)/$D102)^(-'설정'!$C$6),('설정'!$C$26*IF($A102&gt;=31,1+'설정'!$C$14*'설정'!$E$26,1)/$D102)^(-'설정'!$C$7)),0))</f>
        <v/>
      </c>
      <c r="M102" s="8">
        <f>IF($E102*'설정'!$C$5*IF(('설정'!$C$27*IF($A102&gt;=31,1+'설정'!$C$14*'설정'!$E$27,1)/$D102)&lt;1,('설정'!$C$27*IF($A102&gt;=31,1+'설정'!$C$14*'설정'!$E$27,1)/$D102)^(-'설정'!$C$6),('설정'!$C$27*IF($A102&gt;=31,1+'설정'!$C$14*'설정'!$E$27,1)/$D102)^(-'설정'!$C$7))&gt;('설정'!$C$4+'설정'!$F$27+'설정'!$G$27),"실패",ROUND($E102*'설정'!$C$5*IF(('설정'!$C$27*IF($A102&gt;=31,1+'설정'!$C$14*'설정'!$E$27,1)/$D102)&lt;1,('설정'!$C$27*IF($A102&gt;=31,1+'설정'!$C$14*'설정'!$E$27,1)/$D102)^(-'설정'!$C$6),('설정'!$C$27*IF($A102&gt;=31,1+'설정'!$C$14*'설정'!$E$27,1)/$D102)^(-'설정'!$C$7)),0))</f>
        <v/>
      </c>
      <c r="N102" s="8">
        <f>IF($E102*'설정'!$C$5*IF(('설정'!$C$28*IF($A102&gt;=31,1+'설정'!$C$14*'설정'!$E$28,1)/$D102)&lt;1,('설정'!$C$28*IF($A102&gt;=31,1+'설정'!$C$14*'설정'!$E$28,1)/$D102)^(-'설정'!$C$6),('설정'!$C$28*IF($A102&gt;=31,1+'설정'!$C$14*'설정'!$E$28,1)/$D102)^(-'설정'!$C$7))&gt;('설정'!$C$4+'설정'!$F$28+'설정'!$G$28),"실패",ROUND($E102*'설정'!$C$5*IF(('설정'!$C$28*IF($A102&gt;=31,1+'설정'!$C$14*'설정'!$E$28,1)/$D102)&lt;1,('설정'!$C$28*IF($A102&gt;=31,1+'설정'!$C$14*'설정'!$E$28,1)/$D102)^(-'설정'!$C$6),('설정'!$C$28*IF($A102&gt;=31,1+'설정'!$C$14*'설정'!$E$28,1)/$D102)^(-'설정'!$C$7)),0))</f>
        <v/>
      </c>
      <c r="O102" s="8">
        <f>IF($E102*'설정'!$C$5*IF(('설정'!$C$29*IF($A102&gt;=31,1+'설정'!$C$14*'설정'!$E$29,1)/$D102)&lt;1,('설정'!$C$29*IF($A102&gt;=31,1+'설정'!$C$14*'설정'!$E$29,1)/$D102)^(-'설정'!$C$6),('설정'!$C$29*IF($A102&gt;=31,1+'설정'!$C$14*'설정'!$E$29,1)/$D102)^(-'설정'!$C$7))&gt;('설정'!$C$4+'설정'!$F$29+'설정'!$G$29),"실패",ROUND($E102*'설정'!$C$5*IF(('설정'!$C$29*IF($A102&gt;=31,1+'설정'!$C$14*'설정'!$E$29,1)/$D102)&lt;1,('설정'!$C$29*IF($A102&gt;=31,1+'설정'!$C$14*'설정'!$E$29,1)/$D102)^(-'설정'!$C$6),('설정'!$C$29*IF($A102&gt;=31,1+'설정'!$C$14*'설정'!$E$29,1)/$D102)^(-'설정'!$C$7)),0))</f>
        <v/>
      </c>
      <c r="P102" s="8">
        <f>IF($E102*'설정'!$C$5*IF(('설정'!$C$30*IF($A102&gt;=31,1+'설정'!$C$14*'설정'!$E$30,1)/$D102)&lt;1,('설정'!$C$30*IF($A102&gt;=31,1+'설정'!$C$14*'설정'!$E$30,1)/$D102)^(-'설정'!$C$6),('설정'!$C$30*IF($A102&gt;=31,1+'설정'!$C$14*'설정'!$E$30,1)/$D102)^(-'설정'!$C$7))&gt;('설정'!$C$4+'설정'!$F$30+'설정'!$G$30),"실패",ROUND($E102*'설정'!$C$5*IF(('설정'!$C$30*IF($A102&gt;=31,1+'설정'!$C$14*'설정'!$E$30,1)/$D102)&lt;1,('설정'!$C$30*IF($A102&gt;=31,1+'설정'!$C$14*'설정'!$E$30,1)/$D102)^(-'설정'!$C$6),('설정'!$C$30*IF($A102&gt;=31,1+'설정'!$C$14*'설정'!$E$30,1)/$D102)^(-'설정'!$C$7)),0))</f>
        <v/>
      </c>
      <c r="Q102" s="8">
        <f>IF($E102*'설정'!$C$5*IF(('설정'!$C$31*IF($A102&gt;=31,1+'설정'!$C$14*'설정'!$E$31,1)/$D102)&lt;1,('설정'!$C$31*IF($A102&gt;=31,1+'설정'!$C$14*'설정'!$E$31,1)/$D102)^(-'설정'!$C$6),('설정'!$C$31*IF($A102&gt;=31,1+'설정'!$C$14*'설정'!$E$31,1)/$D102)^(-'설정'!$C$7))&gt;('설정'!$C$4+'설정'!$F$31+'설정'!$G$31),"실패",ROUND($E102*'설정'!$C$5*IF(('설정'!$C$31*IF($A102&gt;=31,1+'설정'!$C$14*'설정'!$E$31,1)/$D102)&lt;1,('설정'!$C$31*IF($A102&gt;=31,1+'설정'!$C$14*'설정'!$E$31,1)/$D102)^(-'설정'!$C$6),('설정'!$C$31*IF($A102&gt;=31,1+'설정'!$C$14*'설정'!$E$31,1)/$D102)^(-'설정'!$C$7)),0))</f>
        <v/>
      </c>
      <c r="R102" s="8">
        <f>IF($E102*'설정'!$C$5*IF(('설정'!$C$32*IF($A102&gt;=31,1+'설정'!$C$14*'설정'!$E$32,1)/$D102)&lt;1,('설정'!$C$32*IF($A102&gt;=31,1+'설정'!$C$14*'설정'!$E$32,1)/$D102)^(-'설정'!$C$6),('설정'!$C$32*IF($A102&gt;=31,1+'설정'!$C$14*'설정'!$E$32,1)/$D102)^(-'설정'!$C$7))&gt;('설정'!$C$4+'설정'!$F$32+'설정'!$G$32),"실패",ROUND($E102*'설정'!$C$5*IF(('설정'!$C$32*IF($A102&gt;=31,1+'설정'!$C$14*'설정'!$E$32,1)/$D102)&lt;1,('설정'!$C$32*IF($A102&gt;=31,1+'설정'!$C$14*'설정'!$E$32,1)/$D102)^(-'설정'!$C$6),('설정'!$C$32*IF($A102&gt;=31,1+'설정'!$C$14*'설정'!$E$32,1)/$D102)^(-'설정'!$C$7)),0))</f>
        <v/>
      </c>
      <c r="S102" s="8">
        <f>IF($E102*'설정'!$C$5*IF(('설정'!$C$33*IF($A102&gt;=31,1+'설정'!$C$14*'설정'!$E$33,1)/$D102)&lt;1,('설정'!$C$33*IF($A102&gt;=31,1+'설정'!$C$14*'설정'!$E$33,1)/$D102)^(-'설정'!$C$6),('설정'!$C$33*IF($A102&gt;=31,1+'설정'!$C$14*'설정'!$E$33,1)/$D102)^(-'설정'!$C$7))&gt;('설정'!$C$4+'설정'!$F$33+'설정'!$G$33),"실패",ROUND($E102*'설정'!$C$5*IF(('설정'!$C$33*IF($A102&gt;=31,1+'설정'!$C$14*'설정'!$E$33,1)/$D102)&lt;1,('설정'!$C$33*IF($A102&gt;=31,1+'설정'!$C$14*'설정'!$E$33,1)/$D102)^(-'설정'!$C$6),('설정'!$C$33*IF($A102&gt;=31,1+'설정'!$C$14*'설정'!$E$33,1)/$D102)^(-'설정'!$C$7)),0))</f>
        <v/>
      </c>
      <c r="T102" s="8">
        <f>IF($E102*'설정'!$C$5*IF(('설정'!$C$34*IF($A102&gt;=31,1+'설정'!$C$14*'설정'!$E$34,1)/$D102)&lt;1,('설정'!$C$34*IF($A102&gt;=31,1+'설정'!$C$14*'설정'!$E$34,1)/$D102)^(-'설정'!$C$6),('설정'!$C$34*IF($A102&gt;=31,1+'설정'!$C$14*'설정'!$E$34,1)/$D102)^(-'설정'!$C$7))&gt;('설정'!$C$4+'설정'!$F$34+'설정'!$G$34),"실패",ROUND($E102*'설정'!$C$5*IF(('설정'!$C$34*IF($A102&gt;=31,1+'설정'!$C$14*'설정'!$E$34,1)/$D102)&lt;1,('설정'!$C$34*IF($A102&gt;=31,1+'설정'!$C$14*'설정'!$E$34,1)/$D102)^(-'설정'!$C$6),('설정'!$C$34*IF($A102&gt;=31,1+'설정'!$C$14*'설정'!$E$34,1)/$D102)^(-'설정'!$C$7)),0))</f>
        <v/>
      </c>
      <c r="U102" s="8">
        <f>IF($E102*'설정'!$C$5*IF(('설정'!$C$35*IF($A102&gt;=31,1+'설정'!$C$14*'설정'!$E$35,1)/$D102)&lt;1,('설정'!$C$35*IF($A102&gt;=31,1+'설정'!$C$14*'설정'!$E$35,1)/$D102)^(-'설정'!$C$6),('설정'!$C$35*IF($A102&gt;=31,1+'설정'!$C$14*'설정'!$E$35,1)/$D102)^(-'설정'!$C$7))&gt;('설정'!$C$4+'설정'!$F$35+'설정'!$G$35),"실패",ROUND($E102*'설정'!$C$5*IF(('설정'!$C$35*IF($A102&gt;=31,1+'설정'!$C$14*'설정'!$E$35,1)/$D102)&lt;1,('설정'!$C$35*IF($A102&gt;=31,1+'설정'!$C$14*'설정'!$E$35,1)/$D102)^(-'설정'!$C$6),('설정'!$C$35*IF($A102&gt;=31,1+'설정'!$C$14*'설정'!$E$35,1)/$D102)^(-'설정'!$C$7)),0))</f>
        <v/>
      </c>
      <c r="V102" s="8">
        <f>IF($E102*'설정'!$C$5*IF(('설정'!$C$36*IF($A102&gt;=31,1+'설정'!$C$14*'설정'!$E$36,1)/$D102)&lt;1,('설정'!$C$36*IF($A102&gt;=31,1+'설정'!$C$14*'설정'!$E$36,1)/$D102)^(-'설정'!$C$6),('설정'!$C$36*IF($A102&gt;=31,1+'설정'!$C$14*'설정'!$E$36,1)/$D102)^(-'설정'!$C$7))&gt;('설정'!$C$4+'설정'!$F$36+'설정'!$G$36),"실패",ROUND($E102*'설정'!$C$5*IF(('설정'!$C$36*IF($A102&gt;=31,1+'설정'!$C$14*'설정'!$E$36,1)/$D102)&lt;1,('설정'!$C$36*IF($A102&gt;=31,1+'설정'!$C$14*'설정'!$E$36,1)/$D102)^(-'설정'!$C$6),('설정'!$C$36*IF($A102&gt;=31,1+'설정'!$C$14*'설정'!$E$36,1)/$D102)^(-'설정'!$C$7)),0))</f>
        <v/>
      </c>
      <c r="W102" s="8">
        <f>IF($E102*'설정'!$C$5*IF(('설정'!$C$37*IF($A102&gt;=31,1+'설정'!$C$14*'설정'!$E$37,1)/$D102)&lt;1,('설정'!$C$37*IF($A102&gt;=31,1+'설정'!$C$14*'설정'!$E$37,1)/$D102)^(-'설정'!$C$6),('설정'!$C$37*IF($A102&gt;=31,1+'설정'!$C$14*'설정'!$E$37,1)/$D102)^(-'설정'!$C$7))&gt;('설정'!$C$4+'설정'!$F$37+'설정'!$G$37),"실패",ROUND($E102*'설정'!$C$5*IF(('설정'!$C$37*IF($A102&gt;=31,1+'설정'!$C$14*'설정'!$E$37,1)/$D102)&lt;1,('설정'!$C$37*IF($A102&gt;=31,1+'설정'!$C$14*'설정'!$E$37,1)/$D102)^(-'설정'!$C$6),('설정'!$C$37*IF($A102&gt;=31,1+'설정'!$C$14*'설정'!$E$37,1)/$D102)^(-'설정'!$C$7)),0))</f>
        <v/>
      </c>
    </row>
  </sheetData>
  <conditionalFormatting sqref="H3:W102">
    <cfRule type="expression" priority="1" dxfId="0">
      <formula>H3="실패"</formula>
    </cfRule>
    <cfRule type="expression" priority="2" dxfId="1">
      <formula>AND(ISNUMBER(H3),H3&gt;=0.85*('설정'!$C$4+INDEX('설정'!$F$22:$F$37,COLUMN(H3)-7)+IF($C3="보스",INDEX('설정'!$G$22:$G$37,COLUMN(H3)-7),0)))</formula>
    </cfRule>
    <cfRule type="expression" priority="3" dxfId="2">
      <formula>AND(ISNUMBER(H3),H3&lt;0.4*('설정'!$C$4+INDEX('설정'!$F$22:$F$37,COLUMN(H3)-7)+IF($C3="보스",INDEX('설정'!$G$22:$G$37,COLUMN(H3)-7),0)))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판</t>
        </is>
      </c>
      <c r="B1" s="2" t="inlineStr">
        <is>
          <t>시작 시각 (h)</t>
        </is>
      </c>
      <c r="C1" s="2" t="inlineStr">
        <is>
          <t>훈장</t>
        </is>
      </c>
      <c r="D1" s="2" t="inlineStr">
        <is>
          <t>트리 비율</t>
        </is>
      </c>
      <c r="E1" s="2" t="inlineStr">
        <is>
          <t>시작 층</t>
        </is>
      </c>
      <c r="F1" s="2" t="inlineStr">
        <is>
          <t>최고 클리어</t>
        </is>
      </c>
      <c r="G1" s="2" t="inlineStr">
        <is>
          <t>실패 층</t>
        </is>
      </c>
      <c r="H1" s="2" t="inlineStr">
        <is>
          <t>걸린 분</t>
        </is>
      </c>
      <c r="I1" s="2" t="inlineStr">
        <is>
          <t>남은 연구자료</t>
        </is>
      </c>
      <c r="J1" s="2" t="inlineStr">
        <is>
          <t>남은 치즈</t>
        </is>
      </c>
      <c r="K1" s="2" t="inlineStr">
        <is>
          <t>조각 합</t>
        </is>
      </c>
      <c r="L1" s="2" t="inlineStr">
        <is>
          <t>도감</t>
        </is>
      </c>
    </row>
    <row r="2">
      <c r="A2" t="n">
        <v>1</v>
      </c>
      <c r="B2" t="n">
        <v>0</v>
      </c>
      <c r="C2" t="n">
        <v>1</v>
      </c>
      <c r="D2" s="10" t="n">
        <v>0</v>
      </c>
      <c r="E2" t="n">
        <v>1</v>
      </c>
      <c r="F2" t="n">
        <v>4</v>
      </c>
      <c r="G2" t="n">
        <v>5</v>
      </c>
      <c r="H2" t="n">
        <v>9</v>
      </c>
      <c r="I2" s="11" t="n">
        <v>46.12</v>
      </c>
      <c r="J2" s="11" t="n">
        <v>68737.80350201546</v>
      </c>
      <c r="K2" t="n">
        <v>7</v>
      </c>
      <c r="L2" t="n">
        <v>13</v>
      </c>
    </row>
    <row r="3">
      <c r="A3" t="n">
        <v>2</v>
      </c>
      <c r="B3" t="n">
        <v>0.15</v>
      </c>
      <c r="C3" t="n">
        <v>1</v>
      </c>
      <c r="D3" s="10" t="n">
        <v>0.62</v>
      </c>
      <c r="E3" t="n">
        <v>1</v>
      </c>
      <c r="F3" t="n">
        <v>4</v>
      </c>
      <c r="G3" t="n">
        <v>5</v>
      </c>
      <c r="H3" t="n">
        <v>7</v>
      </c>
      <c r="I3" s="11" t="n">
        <v>92.23999999999999</v>
      </c>
      <c r="J3" s="11" t="n">
        <v>72575.60700403093</v>
      </c>
      <c r="K3" t="n">
        <v>7</v>
      </c>
      <c r="L3" t="n">
        <v>13</v>
      </c>
    </row>
    <row r="4">
      <c r="A4" t="n">
        <v>3</v>
      </c>
      <c r="B4" t="n">
        <v>0.27</v>
      </c>
      <c r="C4" t="n">
        <v>1</v>
      </c>
      <c r="D4" s="10" t="n">
        <v>0.97</v>
      </c>
      <c r="E4" t="n">
        <v>1</v>
      </c>
      <c r="F4" t="n">
        <v>6</v>
      </c>
      <c r="G4" t="n">
        <v>7</v>
      </c>
      <c r="H4" t="n">
        <v>9.5</v>
      </c>
      <c r="I4" s="11" t="n">
        <v>203.6</v>
      </c>
      <c r="J4" s="11" t="n">
        <v>321664.496634864</v>
      </c>
      <c r="K4" t="n">
        <v>14</v>
      </c>
      <c r="L4" t="n">
        <v>18</v>
      </c>
    </row>
    <row r="5">
      <c r="A5" t="n">
        <v>4</v>
      </c>
      <c r="B5" t="n">
        <v>0.42</v>
      </c>
      <c r="C5" t="n">
        <v>1</v>
      </c>
      <c r="D5" s="10" t="n">
        <v>1</v>
      </c>
      <c r="E5" t="n">
        <v>3</v>
      </c>
      <c r="F5" t="n">
        <v>7</v>
      </c>
      <c r="G5" t="n">
        <v>8</v>
      </c>
      <c r="H5" t="n">
        <v>10.3</v>
      </c>
      <c r="I5" s="11" t="n">
        <v>345.9699999999999</v>
      </c>
      <c r="J5" s="11" t="n">
        <v>935651.2420423145</v>
      </c>
      <c r="K5" t="n">
        <v>14</v>
      </c>
      <c r="L5" t="n">
        <v>18</v>
      </c>
    </row>
    <row r="6">
      <c r="A6" t="n">
        <v>5</v>
      </c>
      <c r="B6" t="n">
        <v>0.6</v>
      </c>
      <c r="C6" t="n">
        <v>2</v>
      </c>
      <c r="D6" s="10" t="n">
        <v>0.51</v>
      </c>
      <c r="E6" t="n">
        <v>3</v>
      </c>
      <c r="F6" t="n">
        <v>8</v>
      </c>
      <c r="G6" t="n">
        <v>9</v>
      </c>
      <c r="H6" t="n">
        <v>10.4</v>
      </c>
      <c r="I6" s="11" t="n">
        <v>212.0299999999999</v>
      </c>
      <c r="J6" s="11" t="n">
        <v>1506068.094864116</v>
      </c>
      <c r="K6" t="n">
        <v>23</v>
      </c>
      <c r="L6" t="n">
        <v>22</v>
      </c>
    </row>
    <row r="7">
      <c r="A7" t="n">
        <v>6</v>
      </c>
      <c r="B7" t="n">
        <v>0.77</v>
      </c>
      <c r="C7" t="n">
        <v>2</v>
      </c>
      <c r="D7" s="10" t="n">
        <v>1</v>
      </c>
      <c r="E7" t="n">
        <v>5</v>
      </c>
      <c r="F7" t="n">
        <v>9</v>
      </c>
      <c r="G7" t="n">
        <v>10</v>
      </c>
      <c r="H7" t="n">
        <v>9.9</v>
      </c>
      <c r="I7" s="11" t="n">
        <v>278.3599999999999</v>
      </c>
      <c r="J7" s="11" t="n">
        <v>2747394.398063242</v>
      </c>
      <c r="K7" t="n">
        <v>29</v>
      </c>
      <c r="L7" t="n">
        <v>24</v>
      </c>
    </row>
    <row r="8">
      <c r="A8" t="n">
        <v>7</v>
      </c>
      <c r="B8" t="n">
        <v>0.93</v>
      </c>
      <c r="C8" t="n">
        <v>3</v>
      </c>
      <c r="D8" s="10" t="n">
        <v>0.22</v>
      </c>
      <c r="E8" t="n">
        <v>5</v>
      </c>
      <c r="F8" t="n">
        <v>10</v>
      </c>
      <c r="G8" t="n">
        <v>11</v>
      </c>
      <c r="H8" t="n">
        <v>11.1</v>
      </c>
      <c r="I8" s="11" t="n">
        <v>383.6899999999999</v>
      </c>
      <c r="J8" s="11" t="n">
        <v>6247502.544789691</v>
      </c>
      <c r="K8" t="n">
        <v>33</v>
      </c>
      <c r="L8" t="n">
        <v>27</v>
      </c>
    </row>
    <row r="9">
      <c r="A9" t="n">
        <v>8</v>
      </c>
      <c r="B9" t="n">
        <v>1.12</v>
      </c>
      <c r="C9" t="n">
        <v>3</v>
      </c>
      <c r="D9" s="10" t="n">
        <v>0.97</v>
      </c>
      <c r="E9" t="n">
        <v>6</v>
      </c>
      <c r="F9" t="n">
        <v>11</v>
      </c>
      <c r="G9" t="n">
        <v>12</v>
      </c>
      <c r="H9" t="n">
        <v>9.9</v>
      </c>
      <c r="I9" s="11" t="n">
        <v>507.8999999999999</v>
      </c>
      <c r="J9" s="11" t="n">
        <v>9591089.408451859</v>
      </c>
      <c r="K9" t="n">
        <v>44</v>
      </c>
      <c r="L9" t="n">
        <v>28</v>
      </c>
    </row>
    <row r="10">
      <c r="A10" t="n">
        <v>9</v>
      </c>
      <c r="B10" t="n">
        <v>1.28</v>
      </c>
      <c r="C10" t="n">
        <v>4</v>
      </c>
      <c r="D10" s="10" t="n">
        <v>0.38</v>
      </c>
      <c r="E10" t="n">
        <v>7</v>
      </c>
      <c r="F10" t="n">
        <v>13</v>
      </c>
      <c r="G10" t="n">
        <v>14</v>
      </c>
      <c r="H10" t="n">
        <v>12.2</v>
      </c>
      <c r="I10" s="11" t="n">
        <v>925.9899999999998</v>
      </c>
      <c r="J10" s="11" t="n">
        <v>31295600.22396451</v>
      </c>
      <c r="K10" t="n">
        <v>48</v>
      </c>
      <c r="L10" t="n">
        <v>37</v>
      </c>
    </row>
    <row r="11">
      <c r="A11" t="n">
        <v>10</v>
      </c>
      <c r="B11" t="n">
        <v>1.49</v>
      </c>
      <c r="C11" t="n">
        <v>4</v>
      </c>
      <c r="D11" s="10" t="n">
        <v>1</v>
      </c>
      <c r="E11" t="n">
        <v>9</v>
      </c>
      <c r="F11" t="n">
        <v>14</v>
      </c>
      <c r="G11" t="n">
        <v>15</v>
      </c>
      <c r="H11" t="n">
        <v>11</v>
      </c>
      <c r="I11" s="11" t="n">
        <v>1511.38</v>
      </c>
      <c r="J11" s="11" t="n">
        <v>66375396.71942301</v>
      </c>
      <c r="K11" t="n">
        <v>51</v>
      </c>
      <c r="L11" t="n">
        <v>38</v>
      </c>
    </row>
    <row r="12">
      <c r="A12" t="n">
        <v>11</v>
      </c>
      <c r="B12" t="n">
        <v>1.67</v>
      </c>
      <c r="C12" t="n">
        <v>5</v>
      </c>
      <c r="D12" s="10" t="n">
        <v>0.86</v>
      </c>
      <c r="E12" t="n">
        <v>9</v>
      </c>
      <c r="F12" t="n">
        <v>15</v>
      </c>
      <c r="G12" t="n">
        <v>16</v>
      </c>
      <c r="H12" t="n">
        <v>9.4</v>
      </c>
      <c r="I12" s="11" t="n">
        <v>1605.77</v>
      </c>
      <c r="J12" s="11" t="n">
        <v>115780464.673584</v>
      </c>
      <c r="K12" t="n">
        <v>63</v>
      </c>
      <c r="L12" t="n">
        <v>46</v>
      </c>
    </row>
    <row r="13">
      <c r="A13" t="n">
        <v>12</v>
      </c>
      <c r="B13" t="n">
        <v>1.83</v>
      </c>
      <c r="C13" t="n">
        <v>5</v>
      </c>
      <c r="D13" s="10" t="n">
        <v>1</v>
      </c>
      <c r="E13" t="n">
        <v>10</v>
      </c>
      <c r="F13" t="n">
        <v>15</v>
      </c>
      <c r="G13" t="n">
        <v>16</v>
      </c>
      <c r="H13" t="n">
        <v>8.699999999999999</v>
      </c>
      <c r="I13" s="11" t="n">
        <v>2822.77</v>
      </c>
      <c r="J13" s="11" t="n">
        <v>200406938.9514939</v>
      </c>
      <c r="K13" t="n">
        <v>78</v>
      </c>
      <c r="L13" t="n">
        <v>46</v>
      </c>
    </row>
    <row r="14">
      <c r="A14" t="n">
        <v>13</v>
      </c>
      <c r="B14" t="n">
        <v>1.97</v>
      </c>
      <c r="C14" t="n">
        <v>6</v>
      </c>
      <c r="D14" s="10" t="n">
        <v>0.89</v>
      </c>
      <c r="E14" t="n">
        <v>10</v>
      </c>
      <c r="F14" t="n">
        <v>17</v>
      </c>
      <c r="G14" t="n">
        <v>18</v>
      </c>
      <c r="H14" t="n">
        <v>10.8</v>
      </c>
      <c r="I14" s="11" t="n">
        <v>1910.27</v>
      </c>
      <c r="J14" s="11" t="n">
        <v>310723356.6610337</v>
      </c>
      <c r="K14" t="n">
        <v>88</v>
      </c>
      <c r="L14" t="n">
        <v>52</v>
      </c>
    </row>
    <row r="15">
      <c r="A15" t="n">
        <v>14</v>
      </c>
      <c r="B15" t="n">
        <v>2.15</v>
      </c>
      <c r="C15" t="n">
        <v>6</v>
      </c>
      <c r="D15" s="10" t="n">
        <v>1</v>
      </c>
      <c r="E15" t="n">
        <v>10</v>
      </c>
      <c r="F15" t="n">
        <v>17</v>
      </c>
      <c r="G15" t="n">
        <v>18</v>
      </c>
      <c r="H15" t="n">
        <v>10.4</v>
      </c>
      <c r="I15" s="11" t="n">
        <v>3177.77</v>
      </c>
      <c r="J15" s="11" t="n">
        <v>551839774.3705735</v>
      </c>
      <c r="K15" t="n">
        <v>107</v>
      </c>
      <c r="L15" t="n">
        <v>53</v>
      </c>
    </row>
    <row r="16">
      <c r="A16" t="n">
        <v>15</v>
      </c>
      <c r="B16" t="n">
        <v>2.33</v>
      </c>
      <c r="C16" t="n">
        <v>7</v>
      </c>
      <c r="D16" s="10" t="n">
        <v>0.14</v>
      </c>
      <c r="E16" t="n">
        <v>10</v>
      </c>
      <c r="F16" t="n">
        <v>17</v>
      </c>
      <c r="G16" t="n">
        <v>18</v>
      </c>
      <c r="H16" t="n">
        <v>9.699999999999999</v>
      </c>
      <c r="I16" s="11" t="n">
        <v>1948.27</v>
      </c>
      <c r="J16" s="11" t="n">
        <v>590456192.0801133</v>
      </c>
      <c r="K16" t="n">
        <v>115</v>
      </c>
      <c r="L16" t="n">
        <v>63</v>
      </c>
    </row>
    <row r="17">
      <c r="A17" t="n">
        <v>16</v>
      </c>
      <c r="B17" t="n">
        <v>2.49</v>
      </c>
      <c r="C17" t="n">
        <v>7</v>
      </c>
      <c r="D17" s="10" t="n">
        <v>0.35</v>
      </c>
      <c r="E17" t="n">
        <v>10</v>
      </c>
      <c r="F17" t="n">
        <v>18</v>
      </c>
      <c r="G17" t="n">
        <v>19</v>
      </c>
      <c r="H17" t="n">
        <v>11.9</v>
      </c>
      <c r="I17" s="11" t="n">
        <v>3716.77</v>
      </c>
      <c r="J17" s="11" t="n">
        <v>882270194.2044327</v>
      </c>
      <c r="K17" t="n">
        <v>137</v>
      </c>
      <c r="L17" t="n">
        <v>66</v>
      </c>
    </row>
    <row r="18">
      <c r="A18" t="n">
        <v>17</v>
      </c>
      <c r="B18" t="n">
        <v>2.68</v>
      </c>
      <c r="C18" t="n">
        <v>7</v>
      </c>
      <c r="D18" s="10" t="n">
        <v>0.59</v>
      </c>
      <c r="E18" t="n">
        <v>10</v>
      </c>
      <c r="F18" t="n">
        <v>18</v>
      </c>
      <c r="G18" t="n">
        <v>19</v>
      </c>
      <c r="H18" t="n">
        <v>10.4</v>
      </c>
      <c r="I18" s="11" t="n">
        <v>4907.27</v>
      </c>
      <c r="J18" s="11" t="n">
        <v>920084196.3287522</v>
      </c>
      <c r="K18" t="n">
        <v>146</v>
      </c>
      <c r="L18" t="n">
        <v>67</v>
      </c>
    </row>
    <row r="19">
      <c r="A19" t="n">
        <v>18</v>
      </c>
      <c r="B19" t="n">
        <v>2.86</v>
      </c>
      <c r="C19" t="n">
        <v>7</v>
      </c>
      <c r="D19" s="10" t="n">
        <v>0.8100000000000001</v>
      </c>
      <c r="E19" t="n">
        <v>10</v>
      </c>
      <c r="F19" t="n">
        <v>18</v>
      </c>
      <c r="G19" t="n">
        <v>19</v>
      </c>
      <c r="H19" t="n">
        <v>9.6</v>
      </c>
      <c r="I19" s="11" t="n">
        <v>6069.77</v>
      </c>
      <c r="J19" s="11" t="n">
        <v>927898198.4530716</v>
      </c>
      <c r="K19" t="n">
        <v>169</v>
      </c>
      <c r="L19" t="n">
        <v>67</v>
      </c>
    </row>
    <row r="20">
      <c r="A20" t="n">
        <v>19</v>
      </c>
      <c r="B20" t="n">
        <v>3.02</v>
      </c>
      <c r="C20" t="n">
        <v>7</v>
      </c>
      <c r="D20" s="10" t="n">
        <v>0.97</v>
      </c>
      <c r="E20" t="n">
        <v>10</v>
      </c>
      <c r="F20" t="n">
        <v>29</v>
      </c>
      <c r="G20" t="n">
        <v>30</v>
      </c>
      <c r="H20" t="n">
        <v>24.7</v>
      </c>
      <c r="I20" s="11" t="n">
        <v>33371.27</v>
      </c>
      <c r="J20" s="11" t="n">
        <v>27330918154.54673</v>
      </c>
      <c r="K20" t="n">
        <v>199</v>
      </c>
      <c r="L20" t="n">
        <v>74</v>
      </c>
    </row>
    <row r="21">
      <c r="A21" t="n">
        <v>20</v>
      </c>
      <c r="B21" t="n">
        <v>3.43</v>
      </c>
      <c r="C21" t="n">
        <v>8</v>
      </c>
      <c r="D21" s="10" t="n">
        <v>0.24</v>
      </c>
      <c r="E21" t="n">
        <v>20</v>
      </c>
      <c r="F21" t="n">
        <v>29</v>
      </c>
      <c r="G21" t="n">
        <v>30</v>
      </c>
      <c r="H21" t="n">
        <v>15.7</v>
      </c>
      <c r="I21" s="11" t="n">
        <v>31636.27</v>
      </c>
      <c r="J21" s="11" t="n">
        <v>26082014910.21689</v>
      </c>
      <c r="K21" t="n">
        <v>224</v>
      </c>
      <c r="L21" t="n">
        <v>85</v>
      </c>
    </row>
    <row r="22">
      <c r="A22" t="n">
        <v>21</v>
      </c>
      <c r="B22" t="n">
        <v>3.69</v>
      </c>
      <c r="C22" t="n">
        <v>8</v>
      </c>
      <c r="D22" s="10" t="n">
        <v>0.41</v>
      </c>
      <c r="E22" t="n">
        <v>20</v>
      </c>
      <c r="F22" t="n">
        <v>39</v>
      </c>
      <c r="G22" t="n">
        <v>40</v>
      </c>
      <c r="H22" t="n">
        <v>28.5</v>
      </c>
      <c r="I22" s="11" t="n">
        <v>77953.26999999999</v>
      </c>
      <c r="J22" s="11" t="n">
        <v>125033092406.4033</v>
      </c>
      <c r="K22" t="n">
        <v>239</v>
      </c>
      <c r="L22" t="n">
        <v>86</v>
      </c>
    </row>
    <row r="23">
      <c r="A23" t="n">
        <v>22</v>
      </c>
      <c r="B23" t="n">
        <v>4.17</v>
      </c>
      <c r="C23" t="n">
        <v>8</v>
      </c>
      <c r="D23" s="10" t="n">
        <v>0.97</v>
      </c>
      <c r="E23" t="n">
        <v>28</v>
      </c>
      <c r="F23" t="n">
        <v>46</v>
      </c>
      <c r="G23" t="n">
        <v>47</v>
      </c>
      <c r="H23" t="n">
        <v>32.9</v>
      </c>
      <c r="I23" s="11" t="n">
        <v>116262.27</v>
      </c>
      <c r="J23" s="11" t="n">
        <v>306979681481.2426</v>
      </c>
      <c r="K23" t="n">
        <v>281</v>
      </c>
      <c r="L23" t="n">
        <v>87</v>
      </c>
    </row>
    <row r="24">
      <c r="A24" t="n">
        <v>23</v>
      </c>
      <c r="B24" t="n">
        <v>4.71</v>
      </c>
      <c r="C24" t="n">
        <v>9</v>
      </c>
      <c r="D24" s="10" t="n">
        <v>0.84</v>
      </c>
      <c r="E24" t="n">
        <v>35</v>
      </c>
      <c r="F24" t="n">
        <v>48</v>
      </c>
      <c r="G24" t="n">
        <v>49</v>
      </c>
      <c r="H24" t="n">
        <v>25.1</v>
      </c>
      <c r="I24" s="11" t="n">
        <v>109574.27</v>
      </c>
      <c r="J24" s="11" t="n">
        <v>363688711277.6649</v>
      </c>
      <c r="K24" t="n">
        <v>312</v>
      </c>
      <c r="L24" t="n">
        <v>87</v>
      </c>
    </row>
    <row r="25">
      <c r="A25" t="n">
        <v>24</v>
      </c>
      <c r="B25" t="n">
        <v>5.13</v>
      </c>
      <c r="C25" t="n">
        <v>10</v>
      </c>
      <c r="D25" s="10" t="n">
        <v>0</v>
      </c>
      <c r="E25" t="n">
        <v>41</v>
      </c>
      <c r="F25" t="n">
        <v>48</v>
      </c>
      <c r="G25" t="n">
        <v>49</v>
      </c>
      <c r="H25" t="n">
        <v>17.5</v>
      </c>
      <c r="I25" s="11" t="n">
        <v>79621.26999999999</v>
      </c>
      <c r="J25" s="11" t="n">
        <v>552805887610.5625</v>
      </c>
      <c r="K25" t="n">
        <v>323</v>
      </c>
      <c r="L25" t="n">
        <v>87</v>
      </c>
    </row>
    <row r="26">
      <c r="A26" t="n">
        <v>25</v>
      </c>
      <c r="B26" t="n">
        <v>5.42</v>
      </c>
      <c r="C26" t="n">
        <v>10</v>
      </c>
      <c r="D26" s="10" t="n">
        <v>0.35</v>
      </c>
      <c r="E26" t="n">
        <v>41</v>
      </c>
      <c r="F26" t="n">
        <v>49</v>
      </c>
      <c r="G26" t="n">
        <v>50</v>
      </c>
      <c r="H26" t="n">
        <v>15.3</v>
      </c>
      <c r="I26" s="11" t="n">
        <v>97326.26999999999</v>
      </c>
      <c r="J26" s="11" t="n">
        <v>479260121750.9578</v>
      </c>
      <c r="K26" t="n">
        <v>332</v>
      </c>
      <c r="L26" t="n">
        <v>87</v>
      </c>
    </row>
    <row r="27">
      <c r="A27" t="n">
        <v>26</v>
      </c>
      <c r="B27" t="n">
        <v>5.68</v>
      </c>
      <c r="C27" t="n">
        <v>10</v>
      </c>
      <c r="D27" s="10" t="n">
        <v>0.59</v>
      </c>
      <c r="E27" t="n">
        <v>41</v>
      </c>
      <c r="F27" t="n">
        <v>49</v>
      </c>
      <c r="G27" t="n">
        <v>50</v>
      </c>
      <c r="H27" t="n">
        <v>13.5</v>
      </c>
      <c r="I27" s="11" t="n">
        <v>116835.27</v>
      </c>
      <c r="J27" s="11" t="n">
        <v>417714355891.3531</v>
      </c>
      <c r="K27" t="n">
        <v>337</v>
      </c>
      <c r="L27" t="n">
        <v>87</v>
      </c>
    </row>
    <row r="28">
      <c r="A28" t="n">
        <v>27</v>
      </c>
      <c r="B28" t="n">
        <v>5.9</v>
      </c>
      <c r="C28" t="n">
        <v>10</v>
      </c>
      <c r="D28" s="10" t="n">
        <v>0.78</v>
      </c>
      <c r="E28" t="n">
        <v>45</v>
      </c>
      <c r="F28" t="n">
        <v>59</v>
      </c>
      <c r="G28" t="n">
        <v>60</v>
      </c>
      <c r="H28" t="n">
        <v>29.3</v>
      </c>
      <c r="I28" s="11" t="n">
        <v>416560.27</v>
      </c>
      <c r="J28" s="11" t="n">
        <v>1707215042565.656</v>
      </c>
      <c r="K28" t="n">
        <v>375</v>
      </c>
      <c r="L28" t="n">
        <v>87</v>
      </c>
    </row>
    <row r="29">
      <c r="A29" t="n">
        <v>28</v>
      </c>
      <c r="B29" t="n">
        <v>6.39</v>
      </c>
      <c r="C29" t="n">
        <v>10</v>
      </c>
      <c r="D29" s="10" t="n">
        <v>1</v>
      </c>
      <c r="E29" t="n">
        <v>51</v>
      </c>
      <c r="F29" t="n">
        <v>59</v>
      </c>
      <c r="G29" t="n">
        <v>60</v>
      </c>
      <c r="H29" t="n">
        <v>16.8</v>
      </c>
      <c r="I29" s="11" t="n">
        <v>586297.27</v>
      </c>
      <c r="J29" s="11" t="n">
        <v>2443963619077.259</v>
      </c>
      <c r="K29" t="n">
        <v>395</v>
      </c>
      <c r="L29" t="n">
        <v>87</v>
      </c>
    </row>
    <row r="30">
      <c r="A30" t="n">
        <v>29</v>
      </c>
      <c r="B30" t="n">
        <v>6.67</v>
      </c>
      <c r="C30" t="n">
        <v>11</v>
      </c>
      <c r="D30" s="10" t="n">
        <v>0.49</v>
      </c>
      <c r="E30" t="n">
        <v>51</v>
      </c>
      <c r="F30" t="n">
        <v>59</v>
      </c>
      <c r="G30" t="n">
        <v>60</v>
      </c>
      <c r="H30" t="n">
        <v>14</v>
      </c>
      <c r="I30" s="11" t="n">
        <v>270773.27</v>
      </c>
      <c r="J30" s="11" t="n">
        <v>1805712195588.861</v>
      </c>
      <c r="K30" t="n">
        <v>417</v>
      </c>
      <c r="L30" t="n">
        <v>87</v>
      </c>
    </row>
    <row r="31">
      <c r="A31" t="n">
        <v>30</v>
      </c>
      <c r="B31" t="n">
        <v>6.9</v>
      </c>
      <c r="C31" t="n">
        <v>11</v>
      </c>
      <c r="D31" s="10" t="n">
        <v>0.76</v>
      </c>
      <c r="E31" t="n">
        <v>51</v>
      </c>
      <c r="F31" t="n">
        <v>69</v>
      </c>
      <c r="G31" t="n">
        <v>70</v>
      </c>
      <c r="H31" t="n">
        <v>30.8</v>
      </c>
      <c r="I31" s="11" t="n">
        <v>1052163.27</v>
      </c>
      <c r="J31" s="11" t="n">
        <v>5741555074461.725</v>
      </c>
      <c r="K31" t="n">
        <v>457</v>
      </c>
      <c r="L31" t="n">
        <v>87</v>
      </c>
    </row>
    <row r="32">
      <c r="A32" t="n">
        <v>31</v>
      </c>
      <c r="B32" t="n">
        <v>7.42</v>
      </c>
      <c r="C32" t="n">
        <v>12</v>
      </c>
      <c r="D32" s="10" t="n">
        <v>0.05</v>
      </c>
      <c r="E32" t="n">
        <v>61</v>
      </c>
      <c r="F32" t="n">
        <v>69</v>
      </c>
      <c r="G32" t="n">
        <v>70</v>
      </c>
      <c r="H32" t="n">
        <v>16.9</v>
      </c>
      <c r="I32" s="11" t="n">
        <v>681894.27</v>
      </c>
      <c r="J32" s="11" t="n">
        <v>7614543962854.43</v>
      </c>
      <c r="K32" t="n">
        <v>483</v>
      </c>
      <c r="L32" t="n">
        <v>87</v>
      </c>
    </row>
    <row r="33">
      <c r="A33" t="n">
        <v>32</v>
      </c>
      <c r="B33" t="n">
        <v>7.7</v>
      </c>
      <c r="C33" t="n">
        <v>12</v>
      </c>
      <c r="D33" s="10" t="n">
        <v>0.51</v>
      </c>
      <c r="E33" t="n">
        <v>61</v>
      </c>
      <c r="F33" t="n">
        <v>69</v>
      </c>
      <c r="G33" t="n">
        <v>70</v>
      </c>
      <c r="H33" t="n">
        <v>14</v>
      </c>
      <c r="I33" s="11" t="n">
        <v>671909.27</v>
      </c>
      <c r="J33" s="11" t="n">
        <v>5407532851247.135</v>
      </c>
      <c r="K33" t="n">
        <v>490</v>
      </c>
      <c r="L33" t="n">
        <v>87</v>
      </c>
    </row>
    <row r="34">
      <c r="A34" t="n">
        <v>33</v>
      </c>
      <c r="B34" t="n">
        <v>7.93</v>
      </c>
      <c r="C34" t="n">
        <v>12</v>
      </c>
      <c r="D34" s="10" t="n">
        <v>0.78</v>
      </c>
      <c r="E34" t="n">
        <v>65</v>
      </c>
      <c r="F34" t="n">
        <v>79</v>
      </c>
      <c r="G34" t="n">
        <v>80</v>
      </c>
      <c r="H34" t="n">
        <v>25.7</v>
      </c>
      <c r="I34" s="11" t="n">
        <v>2142830.27</v>
      </c>
      <c r="J34" s="11" t="n">
        <v>14022323001653.41</v>
      </c>
      <c r="K34" t="n">
        <v>513</v>
      </c>
      <c r="L34" t="n">
        <v>87</v>
      </c>
    </row>
    <row r="35">
      <c r="A35" t="n">
        <v>34</v>
      </c>
      <c r="B35" t="n">
        <v>8.359999999999999</v>
      </c>
      <c r="C35" t="n">
        <v>12</v>
      </c>
      <c r="D35" s="10" t="n">
        <v>1</v>
      </c>
      <c r="E35" t="n">
        <v>71</v>
      </c>
      <c r="F35" t="n">
        <v>79</v>
      </c>
      <c r="G35" t="n">
        <v>80</v>
      </c>
      <c r="H35" t="n">
        <v>15.8</v>
      </c>
      <c r="I35" s="11" t="n">
        <v>2807398.27</v>
      </c>
      <c r="J35" s="11" t="n">
        <v>17082753292624.49</v>
      </c>
      <c r="K35" t="n">
        <v>542</v>
      </c>
      <c r="L35" t="n">
        <v>87</v>
      </c>
    </row>
    <row r="36">
      <c r="A36" t="n">
        <v>35</v>
      </c>
      <c r="B36" t="n">
        <v>8.619999999999999</v>
      </c>
      <c r="C36" t="n">
        <v>13</v>
      </c>
      <c r="D36" s="10" t="n">
        <v>0.41</v>
      </c>
      <c r="E36" t="n">
        <v>71</v>
      </c>
      <c r="F36" t="n">
        <v>89</v>
      </c>
      <c r="G36" t="n">
        <v>90</v>
      </c>
      <c r="H36" t="n">
        <v>29.3</v>
      </c>
      <c r="I36" s="11" t="n">
        <v>4025352.27</v>
      </c>
      <c r="J36" s="11" t="n">
        <v>36628974086042.45</v>
      </c>
      <c r="K36" t="n">
        <v>566</v>
      </c>
      <c r="L36" t="n">
        <v>87</v>
      </c>
    </row>
    <row r="37">
      <c r="A37" t="n">
        <v>36</v>
      </c>
      <c r="B37" t="n">
        <v>9.109999999999999</v>
      </c>
      <c r="C37" t="n">
        <v>13</v>
      </c>
      <c r="D37" s="10" t="n">
        <v>1</v>
      </c>
      <c r="E37" t="n">
        <v>81</v>
      </c>
      <c r="F37" t="n">
        <v>89</v>
      </c>
      <c r="G37" t="n">
        <v>90</v>
      </c>
      <c r="H37" t="n">
        <v>15.2</v>
      </c>
      <c r="I37" s="11" t="n">
        <v>4069465.27</v>
      </c>
      <c r="J37" s="11" t="n">
        <v>29918429148403.88</v>
      </c>
      <c r="K37" t="n">
        <v>608</v>
      </c>
      <c r="L37" t="n">
        <v>87</v>
      </c>
    </row>
    <row r="38">
      <c r="A38" t="n">
        <v>37</v>
      </c>
      <c r="B38" t="n">
        <v>9.369999999999999</v>
      </c>
      <c r="C38" t="n">
        <v>14</v>
      </c>
      <c r="D38" s="10" t="n">
        <v>0.24</v>
      </c>
      <c r="E38" t="n">
        <v>81</v>
      </c>
      <c r="F38" t="n">
        <v>99</v>
      </c>
      <c r="G38" t="n">
        <v>100</v>
      </c>
      <c r="H38" t="n">
        <v>29.1</v>
      </c>
      <c r="I38" s="11" t="n">
        <v>6281445.27</v>
      </c>
      <c r="J38" s="11" t="n">
        <v>72160178577421.56</v>
      </c>
      <c r="K38" t="n">
        <v>655</v>
      </c>
      <c r="L38" t="n">
        <v>87</v>
      </c>
    </row>
    <row r="39">
      <c r="A39" t="n">
        <v>38</v>
      </c>
      <c r="B39" t="n">
        <v>9.85</v>
      </c>
      <c r="C39" t="n">
        <v>14</v>
      </c>
      <c r="D39" s="10" t="n">
        <v>1</v>
      </c>
      <c r="E39" t="n">
        <v>91</v>
      </c>
      <c r="F39" t="n">
        <v>99</v>
      </c>
      <c r="G39" t="n">
        <v>100</v>
      </c>
      <c r="H39" t="n">
        <v>15.5</v>
      </c>
      <c r="I39" s="11" t="n">
        <v>5699431.27</v>
      </c>
      <c r="J39" s="11" t="n">
        <v>52617622722621.75</v>
      </c>
      <c r="K39" t="n">
        <v>672</v>
      </c>
      <c r="L39" t="n">
        <v>87</v>
      </c>
    </row>
    <row r="40">
      <c r="A40" t="n">
        <v>39</v>
      </c>
      <c r="B40" t="n">
        <v>10.11</v>
      </c>
      <c r="C40" t="n">
        <v>14</v>
      </c>
      <c r="D40" s="10" t="n">
        <v>1</v>
      </c>
      <c r="E40" t="n">
        <v>91</v>
      </c>
      <c r="F40" t="n">
        <v>99</v>
      </c>
      <c r="G40" t="n">
        <v>100</v>
      </c>
      <c r="H40" t="n">
        <v>15.5</v>
      </c>
      <c r="I40" s="11" t="n">
        <v>9150931.27</v>
      </c>
      <c r="J40" s="11" t="n">
        <v>83675066867821.94</v>
      </c>
      <c r="K40" t="n">
        <v>686</v>
      </c>
      <c r="L40" t="n">
        <v>87</v>
      </c>
    </row>
    <row r="41">
      <c r="A41" t="n">
        <v>40</v>
      </c>
      <c r="B41" t="n">
        <v>10.37</v>
      </c>
      <c r="C41" t="n">
        <v>14</v>
      </c>
      <c r="D41" s="10" t="n">
        <v>1</v>
      </c>
      <c r="E41" t="n">
        <v>91</v>
      </c>
      <c r="F41" t="n">
        <v>99</v>
      </c>
      <c r="G41" t="n">
        <v>100</v>
      </c>
      <c r="H41" t="n">
        <v>15.5</v>
      </c>
      <c r="I41" s="11" t="n">
        <v>12602431.27</v>
      </c>
      <c r="J41" s="11" t="n">
        <v>114732511013022.1</v>
      </c>
      <c r="K41" t="n">
        <v>704</v>
      </c>
      <c r="L41" t="n">
        <v>87</v>
      </c>
    </row>
    <row r="42">
      <c r="A42" t="n">
        <v>41</v>
      </c>
      <c r="B42" t="n">
        <v>10.63</v>
      </c>
      <c r="C42" t="n">
        <v>15</v>
      </c>
      <c r="D42" s="10" t="n">
        <v>0.78</v>
      </c>
      <c r="E42" t="n">
        <v>95</v>
      </c>
      <c r="F42" t="n">
        <v>100</v>
      </c>
      <c r="G42" t="inlineStr"/>
      <c r="H42" t="n">
        <v>9.9</v>
      </c>
      <c r="I42" s="11" t="n">
        <v>2891285.27</v>
      </c>
      <c r="J42" s="11" t="n">
        <v>36097773463207.44</v>
      </c>
      <c r="K42" t="n">
        <v>715</v>
      </c>
      <c r="L42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판</t>
        </is>
      </c>
      <c r="B1" s="2" t="inlineStr">
        <is>
          <t>시작 시각 (h)</t>
        </is>
      </c>
      <c r="C1" s="2" t="inlineStr">
        <is>
          <t>훈장</t>
        </is>
      </c>
      <c r="D1" s="2" t="inlineStr">
        <is>
          <t>트리 비율</t>
        </is>
      </c>
      <c r="E1" s="2" t="inlineStr">
        <is>
          <t>시작 층</t>
        </is>
      </c>
      <c r="F1" s="2" t="inlineStr">
        <is>
          <t>최고 클리어</t>
        </is>
      </c>
      <c r="G1" s="2" t="inlineStr">
        <is>
          <t>실패 층</t>
        </is>
      </c>
      <c r="H1" s="2" t="inlineStr">
        <is>
          <t>걸린 분</t>
        </is>
      </c>
      <c r="I1" s="2" t="inlineStr">
        <is>
          <t>남은 연구자료</t>
        </is>
      </c>
      <c r="J1" s="2" t="inlineStr">
        <is>
          <t>남은 치즈</t>
        </is>
      </c>
      <c r="K1" s="2" t="inlineStr">
        <is>
          <t>조각 합</t>
        </is>
      </c>
      <c r="L1" s="2" t="inlineStr">
        <is>
          <t>도감</t>
        </is>
      </c>
    </row>
    <row r="2">
      <c r="A2" t="n">
        <v>1</v>
      </c>
      <c r="B2" t="n">
        <v>0</v>
      </c>
      <c r="C2" t="n">
        <v>1</v>
      </c>
      <c r="D2" s="10" t="n">
        <v>0</v>
      </c>
      <c r="E2" t="n">
        <v>1</v>
      </c>
      <c r="F2" t="n">
        <v>3</v>
      </c>
      <c r="G2" t="n">
        <v>4</v>
      </c>
      <c r="H2" t="n">
        <v>8.1</v>
      </c>
      <c r="I2" s="11" t="n">
        <v>30.5</v>
      </c>
      <c r="J2" s="11" t="n">
        <v>29771.71692980331</v>
      </c>
      <c r="K2" t="n">
        <v>0</v>
      </c>
      <c r="L2" t="n">
        <v>13</v>
      </c>
    </row>
    <row r="3">
      <c r="A3" t="n">
        <v>2</v>
      </c>
      <c r="B3" t="n">
        <v>0.13</v>
      </c>
      <c r="C3" t="n">
        <v>1</v>
      </c>
      <c r="D3" s="10" t="n">
        <v>0.32</v>
      </c>
      <c r="E3" t="n">
        <v>1</v>
      </c>
      <c r="F3" t="n">
        <v>4</v>
      </c>
      <c r="G3" t="n">
        <v>5</v>
      </c>
      <c r="H3" t="n">
        <v>8.699999999999999</v>
      </c>
      <c r="I3" s="11" t="n">
        <v>76.62</v>
      </c>
      <c r="J3" s="11" t="n">
        <v>70609.52043181878</v>
      </c>
      <c r="K3" t="n">
        <v>7</v>
      </c>
      <c r="L3" t="n">
        <v>13</v>
      </c>
    </row>
    <row r="4">
      <c r="A4" t="n">
        <v>3</v>
      </c>
      <c r="B4" t="n">
        <v>0.28</v>
      </c>
      <c r="C4" t="n">
        <v>1</v>
      </c>
      <c r="D4" s="10" t="n">
        <v>0.8100000000000001</v>
      </c>
      <c r="E4" t="n">
        <v>1</v>
      </c>
      <c r="F4" t="n">
        <v>4</v>
      </c>
      <c r="G4" t="n">
        <v>5</v>
      </c>
      <c r="H4" t="n">
        <v>7.6</v>
      </c>
      <c r="I4" s="11" t="n">
        <v>122.74</v>
      </c>
      <c r="J4" s="11" t="n">
        <v>70847.32393383424</v>
      </c>
      <c r="K4" t="n">
        <v>7</v>
      </c>
      <c r="L4" t="n">
        <v>13</v>
      </c>
    </row>
    <row r="5">
      <c r="A5" t="n">
        <v>4</v>
      </c>
      <c r="B5" t="n">
        <v>0.41</v>
      </c>
      <c r="C5" t="n">
        <v>1</v>
      </c>
      <c r="D5" s="10" t="n">
        <v>1</v>
      </c>
      <c r="E5" t="n">
        <v>1</v>
      </c>
      <c r="F5" t="n">
        <v>6</v>
      </c>
      <c r="G5" t="n">
        <v>7</v>
      </c>
      <c r="H5" t="n">
        <v>11.1</v>
      </c>
      <c r="I5" s="11" t="n">
        <v>234.1</v>
      </c>
      <c r="J5" s="11" t="n">
        <v>341636.2135646673</v>
      </c>
      <c r="K5" t="n">
        <v>14</v>
      </c>
      <c r="L5" t="n">
        <v>18</v>
      </c>
    </row>
    <row r="6">
      <c r="A6" t="n">
        <v>5</v>
      </c>
      <c r="B6" t="n">
        <v>0.59</v>
      </c>
      <c r="C6" t="n">
        <v>2</v>
      </c>
      <c r="D6" s="10" t="n">
        <v>0.08</v>
      </c>
      <c r="E6" t="n">
        <v>3</v>
      </c>
      <c r="F6" t="n">
        <v>6</v>
      </c>
      <c r="G6" t="n">
        <v>7</v>
      </c>
      <c r="H6" t="n">
        <v>9.199999999999999</v>
      </c>
      <c r="I6" s="11" t="n">
        <v>95.45999999999998</v>
      </c>
      <c r="J6" s="11" t="n">
        <v>586306.9441824585</v>
      </c>
      <c r="K6" t="n">
        <v>14</v>
      </c>
      <c r="L6" t="n">
        <v>22</v>
      </c>
    </row>
    <row r="7">
      <c r="A7" t="n">
        <v>6</v>
      </c>
      <c r="B7" t="n">
        <v>0.75</v>
      </c>
      <c r="C7" t="n">
        <v>2</v>
      </c>
      <c r="D7" s="10" t="n">
        <v>0.46</v>
      </c>
      <c r="E7" t="n">
        <v>3</v>
      </c>
      <c r="F7" t="n">
        <v>7</v>
      </c>
      <c r="G7" t="n">
        <v>8</v>
      </c>
      <c r="H7" t="n">
        <v>10.2</v>
      </c>
      <c r="I7" s="11" t="n">
        <v>146.83</v>
      </c>
      <c r="J7" s="11" t="n">
        <v>741093.6895899089</v>
      </c>
      <c r="K7" t="n">
        <v>23</v>
      </c>
      <c r="L7" t="n">
        <v>22</v>
      </c>
    </row>
    <row r="8">
      <c r="A8" t="n">
        <v>7</v>
      </c>
      <c r="B8" t="n">
        <v>0.92</v>
      </c>
      <c r="C8" t="n">
        <v>2</v>
      </c>
      <c r="D8" s="10" t="n">
        <v>0.86</v>
      </c>
      <c r="E8" t="n">
        <v>4</v>
      </c>
      <c r="F8" t="n">
        <v>8</v>
      </c>
      <c r="G8" t="n">
        <v>9</v>
      </c>
      <c r="H8" t="n">
        <v>10.5</v>
      </c>
      <c r="I8" s="11" t="n">
        <v>201.39</v>
      </c>
      <c r="J8" s="11" t="n">
        <v>1200097.162432338</v>
      </c>
      <c r="K8" t="n">
        <v>31</v>
      </c>
      <c r="L8" t="n">
        <v>24</v>
      </c>
    </row>
    <row r="9">
      <c r="A9" t="n">
        <v>8</v>
      </c>
      <c r="B9" t="n">
        <v>1.09</v>
      </c>
      <c r="C9" t="n">
        <v>2</v>
      </c>
      <c r="D9" s="10" t="n">
        <v>1</v>
      </c>
      <c r="E9" t="n">
        <v>5</v>
      </c>
      <c r="F9" t="n">
        <v>8</v>
      </c>
      <c r="G9" t="n">
        <v>9</v>
      </c>
      <c r="H9" t="n">
        <v>9.300000000000001</v>
      </c>
      <c r="I9" s="11" t="n">
        <v>304.3299999999999</v>
      </c>
      <c r="J9" s="11" t="n">
        <v>1966867.005379118</v>
      </c>
      <c r="K9" t="n">
        <v>31</v>
      </c>
      <c r="L9" t="n">
        <v>24</v>
      </c>
    </row>
    <row r="10">
      <c r="A10" t="n">
        <v>9</v>
      </c>
      <c r="B10" t="n">
        <v>1.25</v>
      </c>
      <c r="C10" t="n">
        <v>3</v>
      </c>
      <c r="D10" s="10" t="n">
        <v>0.3</v>
      </c>
      <c r="E10" t="n">
        <v>5</v>
      </c>
      <c r="F10" t="n">
        <v>9</v>
      </c>
      <c r="G10" t="n">
        <v>10</v>
      </c>
      <c r="H10" t="n">
        <v>10.6</v>
      </c>
      <c r="I10" s="11" t="n">
        <v>266.6599999999999</v>
      </c>
      <c r="J10" s="11" t="n">
        <v>3082193.308578244</v>
      </c>
      <c r="K10" t="n">
        <v>40</v>
      </c>
      <c r="L10" t="n">
        <v>27</v>
      </c>
    </row>
    <row r="11">
      <c r="A11" t="n">
        <v>10</v>
      </c>
      <c r="B11" t="n">
        <v>1.42</v>
      </c>
      <c r="C11" t="n">
        <v>3</v>
      </c>
      <c r="D11" s="10" t="n">
        <v>0.8100000000000001</v>
      </c>
      <c r="E11" t="n">
        <v>6</v>
      </c>
      <c r="F11" t="n">
        <v>10</v>
      </c>
      <c r="G11" t="n">
        <v>11</v>
      </c>
      <c r="H11" t="n">
        <v>10</v>
      </c>
      <c r="I11" s="11" t="n">
        <v>379.8699999999999</v>
      </c>
      <c r="J11" s="11" t="n">
        <v>4353847.064281438</v>
      </c>
      <c r="K11" t="n">
        <v>44</v>
      </c>
      <c r="L11" t="n">
        <v>28</v>
      </c>
    </row>
    <row r="12">
      <c r="A12" t="n">
        <v>11</v>
      </c>
      <c r="B12" t="n">
        <v>1.59</v>
      </c>
      <c r="C12" t="n">
        <v>3</v>
      </c>
      <c r="D12" s="10" t="n">
        <v>1</v>
      </c>
      <c r="E12" t="n">
        <v>6</v>
      </c>
      <c r="F12" t="n">
        <v>11</v>
      </c>
      <c r="G12" t="n">
        <v>12</v>
      </c>
      <c r="H12" t="n">
        <v>11.6</v>
      </c>
      <c r="I12" s="11" t="n">
        <v>737.0799999999999</v>
      </c>
      <c r="J12" s="11" t="n">
        <v>10634433.92794361</v>
      </c>
      <c r="K12" t="n">
        <v>46</v>
      </c>
      <c r="L12" t="n">
        <v>31</v>
      </c>
    </row>
    <row r="13">
      <c r="A13" t="n">
        <v>12</v>
      </c>
      <c r="B13" t="n">
        <v>1.78</v>
      </c>
      <c r="C13" t="n">
        <v>4</v>
      </c>
      <c r="D13" s="10" t="n">
        <v>0.65</v>
      </c>
      <c r="E13" t="n">
        <v>7</v>
      </c>
      <c r="F13" t="n">
        <v>13</v>
      </c>
      <c r="G13" t="n">
        <v>14</v>
      </c>
      <c r="H13" t="n">
        <v>13.3</v>
      </c>
      <c r="I13" s="11" t="n">
        <v>995.1699999999998</v>
      </c>
      <c r="J13" s="11" t="n">
        <v>27678944.74345626</v>
      </c>
      <c r="K13" t="n">
        <v>59</v>
      </c>
      <c r="L13" t="n">
        <v>38</v>
      </c>
    </row>
    <row r="14">
      <c r="A14" t="n">
        <v>13</v>
      </c>
      <c r="B14" t="n">
        <v>2</v>
      </c>
      <c r="C14" t="n">
        <v>5</v>
      </c>
      <c r="D14" s="10" t="n">
        <v>0.11</v>
      </c>
      <c r="E14" t="n">
        <v>9</v>
      </c>
      <c r="F14" t="n">
        <v>14</v>
      </c>
      <c r="G14" t="n">
        <v>15</v>
      </c>
      <c r="H14" t="n">
        <v>12.1</v>
      </c>
      <c r="I14" s="11" t="n">
        <v>1144.56</v>
      </c>
      <c r="J14" s="11" t="n">
        <v>64008741.23891476</v>
      </c>
      <c r="K14" t="n">
        <v>61</v>
      </c>
      <c r="L14" t="n">
        <v>44</v>
      </c>
    </row>
    <row r="15">
      <c r="A15" t="n">
        <v>14</v>
      </c>
      <c r="B15" t="n">
        <v>2.2</v>
      </c>
      <c r="C15" t="n">
        <v>5</v>
      </c>
      <c r="D15" s="10" t="n">
        <v>0.97</v>
      </c>
      <c r="E15" t="n">
        <v>9</v>
      </c>
      <c r="F15" t="n">
        <v>15</v>
      </c>
      <c r="G15" t="n">
        <v>16</v>
      </c>
      <c r="H15" t="n">
        <v>10.7</v>
      </c>
      <c r="I15" s="11" t="n">
        <v>1663.95</v>
      </c>
      <c r="J15" s="11" t="n">
        <v>106023809.1930758</v>
      </c>
      <c r="K15" t="n">
        <v>77</v>
      </c>
      <c r="L15" t="n">
        <v>46</v>
      </c>
    </row>
    <row r="16">
      <c r="A16" t="n">
        <v>15</v>
      </c>
      <c r="B16" t="n">
        <v>2.38</v>
      </c>
      <c r="C16" t="n">
        <v>6</v>
      </c>
      <c r="D16" s="10" t="n">
        <v>0.46</v>
      </c>
      <c r="E16" t="n">
        <v>10</v>
      </c>
      <c r="F16" t="n">
        <v>16</v>
      </c>
      <c r="G16" t="n">
        <v>17</v>
      </c>
      <c r="H16" t="n">
        <v>11.3</v>
      </c>
      <c r="I16" s="11" t="n">
        <v>1172.45</v>
      </c>
      <c r="J16" s="11" t="n">
        <v>140524506.4574744</v>
      </c>
      <c r="K16" t="n">
        <v>87</v>
      </c>
      <c r="L16" t="n">
        <v>52</v>
      </c>
    </row>
    <row r="17">
      <c r="A17" t="n">
        <v>16</v>
      </c>
      <c r="B17" t="n">
        <v>2.57</v>
      </c>
      <c r="C17" t="n">
        <v>6</v>
      </c>
      <c r="D17" s="10" t="n">
        <v>0.86</v>
      </c>
      <c r="E17" t="n">
        <v>10</v>
      </c>
      <c r="F17" t="n">
        <v>17</v>
      </c>
      <c r="G17" t="n">
        <v>18</v>
      </c>
      <c r="H17" t="n">
        <v>12.9</v>
      </c>
      <c r="I17" s="11" t="n">
        <v>1919.95</v>
      </c>
      <c r="J17" s="11" t="n">
        <v>333440924.1670142</v>
      </c>
      <c r="K17" t="n">
        <v>102</v>
      </c>
      <c r="L17" t="n">
        <v>53</v>
      </c>
    </row>
    <row r="18">
      <c r="A18" t="n">
        <v>17</v>
      </c>
      <c r="B18" t="n">
        <v>2.78</v>
      </c>
      <c r="C18" t="n">
        <v>6</v>
      </c>
      <c r="D18" s="10" t="n">
        <v>1</v>
      </c>
      <c r="E18" t="n">
        <v>10</v>
      </c>
      <c r="F18" t="n">
        <v>17</v>
      </c>
      <c r="G18" t="n">
        <v>18</v>
      </c>
      <c r="H18" t="n">
        <v>12.3</v>
      </c>
      <c r="I18" s="11" t="n">
        <v>3079.45</v>
      </c>
      <c r="J18" s="11" t="n">
        <v>564557341.876554</v>
      </c>
      <c r="K18" t="n">
        <v>110</v>
      </c>
      <c r="L18" t="n">
        <v>53</v>
      </c>
    </row>
    <row r="19">
      <c r="A19" t="n">
        <v>18</v>
      </c>
      <c r="B19" t="n">
        <v>2.99</v>
      </c>
      <c r="C19" t="n">
        <v>7</v>
      </c>
      <c r="D19" s="10" t="n">
        <v>0.14</v>
      </c>
      <c r="E19" t="n">
        <v>10</v>
      </c>
      <c r="F19" t="n">
        <v>17</v>
      </c>
      <c r="G19" t="n">
        <v>18</v>
      </c>
      <c r="H19" t="n">
        <v>11.3</v>
      </c>
      <c r="I19" s="11" t="n">
        <v>1849.95</v>
      </c>
      <c r="J19" s="11" t="n">
        <v>603173759.5860938</v>
      </c>
      <c r="K19" t="n">
        <v>126</v>
      </c>
      <c r="L19" t="n">
        <v>65</v>
      </c>
    </row>
    <row r="20">
      <c r="A20" t="n">
        <v>19</v>
      </c>
      <c r="B20" t="n">
        <v>3.18</v>
      </c>
      <c r="C20" t="n">
        <v>7</v>
      </c>
      <c r="D20" s="10" t="n">
        <v>0.35</v>
      </c>
      <c r="E20" t="n">
        <v>10</v>
      </c>
      <c r="F20" t="n">
        <v>17</v>
      </c>
      <c r="G20" t="n">
        <v>18</v>
      </c>
      <c r="H20" t="n">
        <v>10.6</v>
      </c>
      <c r="I20" s="11" t="n">
        <v>2208.45</v>
      </c>
      <c r="J20" s="11" t="n">
        <v>309790177.2956336</v>
      </c>
      <c r="K20" t="n">
        <v>142</v>
      </c>
      <c r="L20" t="n">
        <v>66</v>
      </c>
    </row>
    <row r="21">
      <c r="A21" t="n">
        <v>20</v>
      </c>
      <c r="B21" t="n">
        <v>3.35</v>
      </c>
      <c r="C21" t="n">
        <v>7</v>
      </c>
      <c r="D21" s="10" t="n">
        <v>0.43</v>
      </c>
      <c r="E21" t="n">
        <v>10</v>
      </c>
      <c r="F21" t="n">
        <v>17</v>
      </c>
      <c r="G21" t="n">
        <v>18</v>
      </c>
      <c r="H21" t="n">
        <v>10.3</v>
      </c>
      <c r="I21" s="11" t="n">
        <v>3428.95</v>
      </c>
      <c r="J21" s="11" t="n">
        <v>362406595.0051733</v>
      </c>
      <c r="K21" t="n">
        <v>153</v>
      </c>
      <c r="L21" t="n">
        <v>67</v>
      </c>
    </row>
    <row r="22">
      <c r="A22" t="n">
        <v>21</v>
      </c>
      <c r="B22" t="n">
        <v>3.52</v>
      </c>
      <c r="C22" t="n">
        <v>7</v>
      </c>
      <c r="D22" s="10" t="n">
        <v>0.51</v>
      </c>
      <c r="E22" t="n">
        <v>10</v>
      </c>
      <c r="F22" t="n">
        <v>18</v>
      </c>
      <c r="G22" t="n">
        <v>19</v>
      </c>
      <c r="H22" t="n">
        <v>12.7</v>
      </c>
      <c r="I22" s="11" t="n">
        <v>5999.45</v>
      </c>
      <c r="J22" s="11" t="n">
        <v>970220597.1294928</v>
      </c>
      <c r="K22" t="n">
        <v>180</v>
      </c>
      <c r="L22" t="n">
        <v>67</v>
      </c>
    </row>
    <row r="23">
      <c r="A23" t="n">
        <v>22</v>
      </c>
      <c r="B23" t="n">
        <v>3.74</v>
      </c>
      <c r="C23" t="n">
        <v>7</v>
      </c>
      <c r="D23" s="10" t="n">
        <v>0.73</v>
      </c>
      <c r="E23" t="n">
        <v>10</v>
      </c>
      <c r="F23" t="n">
        <v>18</v>
      </c>
      <c r="G23" t="n">
        <v>19</v>
      </c>
      <c r="H23" t="n">
        <v>11.5</v>
      </c>
      <c r="I23" s="11" t="n">
        <v>7149.95</v>
      </c>
      <c r="J23" s="11" t="n">
        <v>968034599.2538122</v>
      </c>
      <c r="K23" t="n">
        <v>188</v>
      </c>
      <c r="L23" t="n">
        <v>67</v>
      </c>
    </row>
    <row r="24">
      <c r="A24" t="n">
        <v>23</v>
      </c>
      <c r="B24" t="n">
        <v>3.93</v>
      </c>
      <c r="C24" t="n">
        <v>7</v>
      </c>
      <c r="D24" s="10" t="n">
        <v>0.95</v>
      </c>
      <c r="E24" t="n">
        <v>10</v>
      </c>
      <c r="F24" t="n">
        <v>18</v>
      </c>
      <c r="G24" t="n">
        <v>19</v>
      </c>
      <c r="H24" t="n">
        <v>10.7</v>
      </c>
      <c r="I24" s="11" t="n">
        <v>8216.450000000001</v>
      </c>
      <c r="J24" s="11" t="n">
        <v>945848601.3781316</v>
      </c>
      <c r="K24" t="n">
        <v>199</v>
      </c>
      <c r="L24" t="n">
        <v>67</v>
      </c>
    </row>
    <row r="25">
      <c r="A25" t="n">
        <v>24</v>
      </c>
      <c r="B25" t="n">
        <v>4.11</v>
      </c>
      <c r="C25" t="n">
        <v>7</v>
      </c>
      <c r="D25" s="10" t="n">
        <v>1</v>
      </c>
      <c r="E25" t="n">
        <v>10</v>
      </c>
      <c r="F25" t="n">
        <v>29</v>
      </c>
      <c r="G25" t="n">
        <v>30</v>
      </c>
      <c r="H25" t="n">
        <v>30</v>
      </c>
      <c r="I25" s="11" t="n">
        <v>36238.95</v>
      </c>
      <c r="J25" s="11" t="n">
        <v>27658868557.47179</v>
      </c>
      <c r="K25" t="n">
        <v>227</v>
      </c>
      <c r="L25" t="n">
        <v>81</v>
      </c>
    </row>
    <row r="26">
      <c r="A26" t="n">
        <v>25</v>
      </c>
      <c r="B26" t="n">
        <v>4.61</v>
      </c>
      <c r="C26" t="n">
        <v>8</v>
      </c>
      <c r="D26" s="10" t="n">
        <v>0.24</v>
      </c>
      <c r="E26" t="n">
        <v>20</v>
      </c>
      <c r="F26" t="n">
        <v>29</v>
      </c>
      <c r="G26" t="n">
        <v>30</v>
      </c>
      <c r="H26" t="n">
        <v>19</v>
      </c>
      <c r="I26" s="11" t="n">
        <v>35178.95</v>
      </c>
      <c r="J26" s="11" t="n">
        <v>26679965313.14195</v>
      </c>
      <c r="K26" t="n">
        <v>234</v>
      </c>
      <c r="L26" t="n">
        <v>85</v>
      </c>
    </row>
    <row r="27">
      <c r="A27" t="n">
        <v>26</v>
      </c>
      <c r="B27" t="n">
        <v>4.92</v>
      </c>
      <c r="C27" t="n">
        <v>8</v>
      </c>
      <c r="D27" s="10" t="n">
        <v>0.41</v>
      </c>
      <c r="E27" t="n">
        <v>20</v>
      </c>
      <c r="F27" t="n">
        <v>29</v>
      </c>
      <c r="G27" t="n">
        <v>30</v>
      </c>
      <c r="H27" t="n">
        <v>18.4</v>
      </c>
      <c r="I27" s="11" t="n">
        <v>44990.95</v>
      </c>
      <c r="J27" s="11" t="n">
        <v>28001062068.81211</v>
      </c>
      <c r="K27" t="n">
        <v>255</v>
      </c>
      <c r="L27" t="n">
        <v>86</v>
      </c>
    </row>
    <row r="28">
      <c r="A28" t="n">
        <v>27</v>
      </c>
      <c r="B28" t="n">
        <v>5.23</v>
      </c>
      <c r="C28" t="n">
        <v>8</v>
      </c>
      <c r="D28" s="10" t="n">
        <v>0.54</v>
      </c>
      <c r="E28" t="n">
        <v>20</v>
      </c>
      <c r="F28" t="n">
        <v>29</v>
      </c>
      <c r="G28" t="n">
        <v>30</v>
      </c>
      <c r="H28" t="n">
        <v>18</v>
      </c>
      <c r="I28" s="11" t="n">
        <v>55662.95</v>
      </c>
      <c r="J28" s="11" t="n">
        <v>30822158824.48227</v>
      </c>
      <c r="K28" t="n">
        <v>273</v>
      </c>
      <c r="L28" t="n">
        <v>86</v>
      </c>
    </row>
    <row r="29">
      <c r="A29" t="n">
        <v>28</v>
      </c>
      <c r="B29" t="n">
        <v>5.53</v>
      </c>
      <c r="C29" t="n">
        <v>8</v>
      </c>
      <c r="D29" s="10" t="n">
        <v>0.68</v>
      </c>
      <c r="E29" t="n">
        <v>20</v>
      </c>
      <c r="F29" t="n">
        <v>29</v>
      </c>
      <c r="G29" t="n">
        <v>30</v>
      </c>
      <c r="H29" t="n">
        <v>17.6</v>
      </c>
      <c r="I29" s="11" t="n">
        <v>64402.95</v>
      </c>
      <c r="J29" s="11" t="n">
        <v>29743255580.15244</v>
      </c>
      <c r="K29" t="n">
        <v>290</v>
      </c>
      <c r="L29" t="n">
        <v>86</v>
      </c>
    </row>
    <row r="30">
      <c r="A30" t="n">
        <v>29</v>
      </c>
      <c r="B30" t="n">
        <v>5.82</v>
      </c>
      <c r="C30" t="n">
        <v>8</v>
      </c>
      <c r="D30" s="10" t="n">
        <v>0.8100000000000001</v>
      </c>
      <c r="E30" t="n">
        <v>20</v>
      </c>
      <c r="F30" t="n">
        <v>39</v>
      </c>
      <c r="G30" t="n">
        <v>40</v>
      </c>
      <c r="H30" t="n">
        <v>31.9</v>
      </c>
      <c r="I30" s="11" t="n">
        <v>109779.95</v>
      </c>
      <c r="J30" s="11" t="n">
        <v>126694333076.3389</v>
      </c>
      <c r="K30" t="n">
        <v>323</v>
      </c>
      <c r="L30" t="n">
        <v>87</v>
      </c>
    </row>
    <row r="31">
      <c r="A31" t="n">
        <v>30</v>
      </c>
      <c r="B31" t="n">
        <v>6.36</v>
      </c>
      <c r="C31" t="n">
        <v>9</v>
      </c>
      <c r="D31" s="10" t="n">
        <v>0.27</v>
      </c>
      <c r="E31" t="n">
        <v>28</v>
      </c>
      <c r="F31" t="n">
        <v>39</v>
      </c>
      <c r="G31" t="n">
        <v>40</v>
      </c>
      <c r="H31" t="n">
        <v>20.3</v>
      </c>
      <c r="I31" s="11" t="n">
        <v>64598.95</v>
      </c>
      <c r="J31" s="11" t="n">
        <v>113690594369.711</v>
      </c>
      <c r="K31" t="n">
        <v>333</v>
      </c>
      <c r="L31" t="n">
        <v>87</v>
      </c>
    </row>
    <row r="32">
      <c r="A32" t="n">
        <v>31</v>
      </c>
      <c r="B32" t="n">
        <v>6.69</v>
      </c>
      <c r="C32" t="n">
        <v>9</v>
      </c>
      <c r="D32" s="10" t="n">
        <v>0.57</v>
      </c>
      <c r="E32" t="n">
        <v>28</v>
      </c>
      <c r="F32" t="n">
        <v>46</v>
      </c>
      <c r="G32" t="n">
        <v>47</v>
      </c>
      <c r="H32" t="n">
        <v>34.8</v>
      </c>
      <c r="I32" s="11" t="n">
        <v>140892.95</v>
      </c>
      <c r="J32" s="11" t="n">
        <v>309237183444.5503</v>
      </c>
      <c r="K32" t="n">
        <v>364</v>
      </c>
      <c r="L32" t="n">
        <v>87</v>
      </c>
    </row>
    <row r="33">
      <c r="A33" t="n">
        <v>32</v>
      </c>
      <c r="B33" t="n">
        <v>7.28</v>
      </c>
      <c r="C33" t="n">
        <v>10</v>
      </c>
      <c r="D33" s="10" t="n">
        <v>0.03</v>
      </c>
      <c r="E33" t="n">
        <v>41</v>
      </c>
      <c r="F33" t="n">
        <v>48</v>
      </c>
      <c r="G33" t="n">
        <v>49</v>
      </c>
      <c r="H33" t="n">
        <v>20.9</v>
      </c>
      <c r="I33" s="11" t="n">
        <v>81784.95000000001</v>
      </c>
      <c r="J33" s="11" t="n">
        <v>357354359777.448</v>
      </c>
      <c r="K33" t="n">
        <v>379</v>
      </c>
      <c r="L33" t="n">
        <v>87</v>
      </c>
    </row>
    <row r="34">
      <c r="A34" t="n">
        <v>33</v>
      </c>
      <c r="B34" t="n">
        <v>7.62</v>
      </c>
      <c r="C34" t="n">
        <v>10</v>
      </c>
      <c r="D34" s="10" t="n">
        <v>0.3</v>
      </c>
      <c r="E34" t="n">
        <v>41</v>
      </c>
      <c r="F34" t="n">
        <v>49</v>
      </c>
      <c r="G34" t="n">
        <v>50</v>
      </c>
      <c r="H34" t="n">
        <v>19.3</v>
      </c>
      <c r="I34" s="11" t="n">
        <v>118645.95</v>
      </c>
      <c r="J34" s="11" t="n">
        <v>397808593917.8433</v>
      </c>
      <c r="K34" t="n">
        <v>385</v>
      </c>
      <c r="L34" t="n">
        <v>87</v>
      </c>
    </row>
    <row r="35">
      <c r="A35" t="n">
        <v>34</v>
      </c>
      <c r="B35" t="n">
        <v>7.94</v>
      </c>
      <c r="C35" t="n">
        <v>10</v>
      </c>
      <c r="D35" s="10" t="n">
        <v>0.51</v>
      </c>
      <c r="E35" t="n">
        <v>41</v>
      </c>
      <c r="F35" t="n">
        <v>49</v>
      </c>
      <c r="G35" t="n">
        <v>50</v>
      </c>
      <c r="H35" t="n">
        <v>16.7</v>
      </c>
      <c r="I35" s="11" t="n">
        <v>152199.95</v>
      </c>
      <c r="J35" s="11" t="n">
        <v>419262828058.2386</v>
      </c>
      <c r="K35" t="n">
        <v>396</v>
      </c>
      <c r="L35" t="n">
        <v>87</v>
      </c>
    </row>
    <row r="36">
      <c r="A36" t="n">
        <v>35</v>
      </c>
      <c r="B36" t="n">
        <v>8.220000000000001</v>
      </c>
      <c r="C36" t="n">
        <v>10</v>
      </c>
      <c r="D36" s="10" t="n">
        <v>0.7</v>
      </c>
      <c r="E36" t="n">
        <v>41</v>
      </c>
      <c r="F36" t="n">
        <v>49</v>
      </c>
      <c r="G36" t="n">
        <v>50</v>
      </c>
      <c r="H36" t="n">
        <v>15.4</v>
      </c>
      <c r="I36" s="11" t="n">
        <v>179836.95</v>
      </c>
      <c r="J36" s="11" t="n">
        <v>406717062198.634</v>
      </c>
      <c r="K36" t="n">
        <v>422</v>
      </c>
      <c r="L36" t="n">
        <v>87</v>
      </c>
    </row>
    <row r="37">
      <c r="A37" t="n">
        <v>36</v>
      </c>
      <c r="B37" t="n">
        <v>8.48</v>
      </c>
      <c r="C37" t="n">
        <v>10</v>
      </c>
      <c r="D37" s="10" t="n">
        <v>0.86</v>
      </c>
      <c r="E37" t="n">
        <v>45</v>
      </c>
      <c r="F37" t="n">
        <v>49</v>
      </c>
      <c r="G37" t="n">
        <v>50</v>
      </c>
      <c r="H37" t="n">
        <v>11.5</v>
      </c>
      <c r="I37" s="11" t="n">
        <v>186706.95</v>
      </c>
      <c r="J37" s="11" t="n">
        <v>355445459130.5036</v>
      </c>
      <c r="K37" t="n">
        <v>434</v>
      </c>
      <c r="L37" t="n">
        <v>87</v>
      </c>
    </row>
    <row r="38">
      <c r="A38" t="n">
        <v>37</v>
      </c>
      <c r="B38" t="n">
        <v>8.67</v>
      </c>
      <c r="C38" t="n">
        <v>10</v>
      </c>
      <c r="D38" s="10" t="n">
        <v>0.95</v>
      </c>
      <c r="E38" t="n">
        <v>45</v>
      </c>
      <c r="F38" t="n">
        <v>59</v>
      </c>
      <c r="G38" t="n">
        <v>60</v>
      </c>
      <c r="H38" t="n">
        <v>29.8</v>
      </c>
      <c r="I38" s="11" t="n">
        <v>515692.95</v>
      </c>
      <c r="J38" s="11" t="n">
        <v>1818946145804.807</v>
      </c>
      <c r="K38" t="n">
        <v>461</v>
      </c>
      <c r="L38" t="n">
        <v>87</v>
      </c>
    </row>
    <row r="39">
      <c r="A39" t="n">
        <v>38</v>
      </c>
      <c r="B39" t="n">
        <v>9.17</v>
      </c>
      <c r="C39" t="n">
        <v>11</v>
      </c>
      <c r="D39" s="10" t="n">
        <v>0.3</v>
      </c>
      <c r="E39" t="n">
        <v>51</v>
      </c>
      <c r="F39" t="n">
        <v>59</v>
      </c>
      <c r="G39" t="n">
        <v>60</v>
      </c>
      <c r="H39" t="n">
        <v>17.5</v>
      </c>
      <c r="I39" s="11" t="n">
        <v>285500.95</v>
      </c>
      <c r="J39" s="11" t="n">
        <v>1896694722316.409</v>
      </c>
      <c r="K39" t="n">
        <v>482</v>
      </c>
      <c r="L39" t="n">
        <v>87</v>
      </c>
    </row>
    <row r="40">
      <c r="A40" t="n">
        <v>39</v>
      </c>
      <c r="B40" t="n">
        <v>9.460000000000001</v>
      </c>
      <c r="C40" t="n">
        <v>11</v>
      </c>
      <c r="D40" s="10" t="n">
        <v>0.62</v>
      </c>
      <c r="E40" t="n">
        <v>51</v>
      </c>
      <c r="F40" t="n">
        <v>59</v>
      </c>
      <c r="G40" t="n">
        <v>60</v>
      </c>
      <c r="H40" t="n">
        <v>16.2</v>
      </c>
      <c r="I40" s="11" t="n">
        <v>330480.95</v>
      </c>
      <c r="J40" s="11" t="n">
        <v>1478443298828.012</v>
      </c>
      <c r="K40" t="n">
        <v>492</v>
      </c>
      <c r="L40" t="n">
        <v>87</v>
      </c>
    </row>
    <row r="41">
      <c r="A41" t="n">
        <v>40</v>
      </c>
      <c r="B41" t="n">
        <v>9.73</v>
      </c>
      <c r="C41" t="n">
        <v>11</v>
      </c>
      <c r="D41" s="10" t="n">
        <v>0.84</v>
      </c>
      <c r="E41" t="n">
        <v>55</v>
      </c>
      <c r="F41" t="n">
        <v>68</v>
      </c>
      <c r="G41" t="n">
        <v>69</v>
      </c>
      <c r="H41" t="n">
        <v>29.6</v>
      </c>
      <c r="I41" s="11" t="n">
        <v>963587.95</v>
      </c>
      <c r="J41" s="11" t="n">
        <v>4493894359848.951</v>
      </c>
      <c r="K41" t="n">
        <v>510</v>
      </c>
      <c r="L41" t="n">
        <v>87</v>
      </c>
    </row>
    <row r="42">
      <c r="A42" t="n">
        <v>41</v>
      </c>
      <c r="B42" t="n">
        <v>10.22</v>
      </c>
      <c r="C42" t="n">
        <v>12</v>
      </c>
      <c r="D42" s="10" t="n">
        <v>0.03</v>
      </c>
      <c r="E42" t="n">
        <v>61</v>
      </c>
      <c r="F42" t="n">
        <v>69</v>
      </c>
      <c r="G42" t="n">
        <v>70</v>
      </c>
      <c r="H42" t="n">
        <v>21.1</v>
      </c>
      <c r="I42" s="11" t="n">
        <v>677441.95</v>
      </c>
      <c r="J42" s="11" t="n">
        <v>7066883248241.656</v>
      </c>
      <c r="K42" t="n">
        <v>522</v>
      </c>
      <c r="L42" t="n">
        <v>87</v>
      </c>
    </row>
    <row r="43">
      <c r="A43" t="n">
        <v>42</v>
      </c>
      <c r="B43" t="n">
        <v>10.57</v>
      </c>
      <c r="C43" t="n">
        <v>12</v>
      </c>
      <c r="D43" s="10" t="n">
        <v>0.49</v>
      </c>
      <c r="E43" t="n">
        <v>61</v>
      </c>
      <c r="F43" t="n">
        <v>69</v>
      </c>
      <c r="G43" t="n">
        <v>70</v>
      </c>
      <c r="H43" t="n">
        <v>16.9</v>
      </c>
      <c r="I43" s="11" t="n">
        <v>697334.95</v>
      </c>
      <c r="J43" s="11" t="n">
        <v>5139872136634.361</v>
      </c>
      <c r="K43" t="n">
        <v>546</v>
      </c>
      <c r="L43" t="n">
        <v>87</v>
      </c>
    </row>
    <row r="44">
      <c r="A44" t="n">
        <v>43</v>
      </c>
      <c r="B44" t="n">
        <v>10.85</v>
      </c>
      <c r="C44" t="n">
        <v>12</v>
      </c>
      <c r="D44" s="10" t="n">
        <v>0.76</v>
      </c>
      <c r="E44" t="n">
        <v>65</v>
      </c>
      <c r="F44" t="n">
        <v>69</v>
      </c>
      <c r="G44" t="n">
        <v>70</v>
      </c>
      <c r="H44" t="n">
        <v>12.3</v>
      </c>
      <c r="I44" s="11" t="n">
        <v>602206.95</v>
      </c>
      <c r="J44" s="11" t="n">
        <v>3173880616174.375</v>
      </c>
      <c r="K44" t="n">
        <v>561</v>
      </c>
      <c r="L44" t="n">
        <v>87</v>
      </c>
    </row>
    <row r="45">
      <c r="A45" t="n">
        <v>44</v>
      </c>
      <c r="B45" t="n">
        <v>11.06</v>
      </c>
      <c r="C45" t="n">
        <v>12</v>
      </c>
      <c r="D45" s="10" t="n">
        <v>0.84</v>
      </c>
      <c r="E45" t="n">
        <v>65</v>
      </c>
      <c r="F45" t="n">
        <v>69</v>
      </c>
      <c r="G45" t="n">
        <v>70</v>
      </c>
      <c r="H45" t="n">
        <v>12</v>
      </c>
      <c r="I45" s="11" t="n">
        <v>813263.95</v>
      </c>
      <c r="J45" s="11" t="n">
        <v>4127889095714.389</v>
      </c>
      <c r="K45" t="n">
        <v>567</v>
      </c>
      <c r="L45" t="n">
        <v>87</v>
      </c>
    </row>
    <row r="46">
      <c r="A46" t="n">
        <v>45</v>
      </c>
      <c r="B46" t="n">
        <v>11.26</v>
      </c>
      <c r="C46" t="n">
        <v>12</v>
      </c>
      <c r="D46" s="10" t="n">
        <v>0.95</v>
      </c>
      <c r="E46" t="n">
        <v>65</v>
      </c>
      <c r="F46" t="n">
        <v>79</v>
      </c>
      <c r="G46" t="n">
        <v>80</v>
      </c>
      <c r="H46" t="n">
        <v>28.9</v>
      </c>
      <c r="I46" s="11" t="n">
        <v>2433449.95</v>
      </c>
      <c r="J46" s="11" t="n">
        <v>13972679246120.67</v>
      </c>
      <c r="K46" t="n">
        <v>581</v>
      </c>
      <c r="L46" t="n">
        <v>87</v>
      </c>
    </row>
    <row r="47">
      <c r="A47" t="n">
        <v>46</v>
      </c>
      <c r="B47" t="n">
        <v>11.74</v>
      </c>
      <c r="C47" t="n">
        <v>13</v>
      </c>
      <c r="D47" s="10" t="n">
        <v>0.19</v>
      </c>
      <c r="E47" t="n">
        <v>71</v>
      </c>
      <c r="F47" t="n">
        <v>79</v>
      </c>
      <c r="G47" t="n">
        <v>80</v>
      </c>
      <c r="H47" t="n">
        <v>17.8</v>
      </c>
      <c r="I47" s="11" t="n">
        <v>1434488.95</v>
      </c>
      <c r="J47" s="11" t="n">
        <v>18583109537091.75</v>
      </c>
      <c r="K47" t="n">
        <v>599</v>
      </c>
      <c r="L47" t="n">
        <v>87</v>
      </c>
    </row>
    <row r="48">
      <c r="A48" t="n">
        <v>47</v>
      </c>
      <c r="B48" t="n">
        <v>12.04</v>
      </c>
      <c r="C48" t="n">
        <v>13</v>
      </c>
      <c r="D48" s="10" t="n">
        <v>0.65</v>
      </c>
      <c r="E48" t="n">
        <v>71</v>
      </c>
      <c r="F48" t="n">
        <v>79</v>
      </c>
      <c r="G48" t="n">
        <v>80</v>
      </c>
      <c r="H48" t="n">
        <v>16.5</v>
      </c>
      <c r="I48" s="11" t="n">
        <v>1455591.95</v>
      </c>
      <c r="J48" s="11" t="n">
        <v>13303539828062.83</v>
      </c>
      <c r="K48" t="n">
        <v>637</v>
      </c>
      <c r="L48" t="n">
        <v>87</v>
      </c>
    </row>
    <row r="49">
      <c r="A49" t="n">
        <v>48</v>
      </c>
      <c r="B49" t="n">
        <v>12.31</v>
      </c>
      <c r="C49" t="n">
        <v>13</v>
      </c>
      <c r="D49" s="10" t="n">
        <v>0.95</v>
      </c>
      <c r="E49" t="n">
        <v>75</v>
      </c>
      <c r="F49" t="n">
        <v>89</v>
      </c>
      <c r="G49" t="n">
        <v>90</v>
      </c>
      <c r="H49" t="n">
        <v>27.7</v>
      </c>
      <c r="I49" s="11" t="n">
        <v>3822461.95</v>
      </c>
      <c r="J49" s="11" t="n">
        <v>27375176585439.12</v>
      </c>
      <c r="K49" t="n">
        <v>677</v>
      </c>
      <c r="L49" t="n">
        <v>87</v>
      </c>
    </row>
    <row r="50">
      <c r="A50" t="n">
        <v>49</v>
      </c>
      <c r="B50" t="n">
        <v>12.77</v>
      </c>
      <c r="C50" t="n">
        <v>14</v>
      </c>
      <c r="D50" s="10" t="n">
        <v>0.08</v>
      </c>
      <c r="E50" t="n">
        <v>81</v>
      </c>
      <c r="F50" t="n">
        <v>89</v>
      </c>
      <c r="G50" t="n">
        <v>90</v>
      </c>
      <c r="H50" t="n">
        <v>17.8</v>
      </c>
      <c r="I50" s="11" t="n">
        <v>2295750.95</v>
      </c>
      <c r="J50" s="11" t="n">
        <v>39954631647800.55</v>
      </c>
      <c r="K50" t="n">
        <v>689</v>
      </c>
      <c r="L50" t="n">
        <v>87</v>
      </c>
    </row>
    <row r="51">
      <c r="A51" t="n">
        <v>50</v>
      </c>
      <c r="B51" t="n">
        <v>13.07</v>
      </c>
      <c r="C51" t="n">
        <v>14</v>
      </c>
      <c r="D51" s="10" t="n">
        <v>0.62</v>
      </c>
      <c r="E51" t="n">
        <v>81</v>
      </c>
      <c r="F51" t="n">
        <v>99</v>
      </c>
      <c r="G51" t="n">
        <v>100</v>
      </c>
      <c r="H51" t="n">
        <v>33.4</v>
      </c>
      <c r="I51" s="11" t="n">
        <v>6277400.95</v>
      </c>
      <c r="J51" s="11" t="n">
        <v>63056381076818.23</v>
      </c>
      <c r="K51" t="n">
        <v>718</v>
      </c>
      <c r="L51" t="n">
        <v>87</v>
      </c>
    </row>
    <row r="52">
      <c r="A52" t="n">
        <v>51</v>
      </c>
      <c r="B52" t="n">
        <v>13.63</v>
      </c>
      <c r="C52" t="n">
        <v>14</v>
      </c>
      <c r="D52" s="10" t="n">
        <v>1</v>
      </c>
      <c r="E52" t="n">
        <v>91</v>
      </c>
      <c r="F52" t="n">
        <v>99</v>
      </c>
      <c r="G52" t="n">
        <v>100</v>
      </c>
      <c r="H52" t="n">
        <v>18.7</v>
      </c>
      <c r="I52" s="11" t="n">
        <v>7422518.95</v>
      </c>
      <c r="J52" s="11" t="n">
        <v>65113825222018.42</v>
      </c>
      <c r="K52" t="n">
        <v>734</v>
      </c>
      <c r="L52" t="n">
        <v>87</v>
      </c>
    </row>
    <row r="53">
      <c r="A53" t="n">
        <v>52</v>
      </c>
      <c r="B53" t="n">
        <v>13.94</v>
      </c>
      <c r="C53" t="n">
        <v>15</v>
      </c>
      <c r="D53" s="10" t="n">
        <v>0.32</v>
      </c>
      <c r="E53" t="n">
        <v>91</v>
      </c>
      <c r="F53" t="n">
        <v>99</v>
      </c>
      <c r="G53" t="n">
        <v>100</v>
      </c>
      <c r="H53" t="n">
        <v>17.7</v>
      </c>
      <c r="I53" s="11" t="n">
        <v>3555446.95</v>
      </c>
      <c r="J53" s="11" t="n">
        <v>64171269367218.61</v>
      </c>
      <c r="K53" t="n">
        <v>767</v>
      </c>
      <c r="L53" t="n">
        <v>87</v>
      </c>
    </row>
    <row r="54">
      <c r="A54" t="n">
        <v>53</v>
      </c>
      <c r="B54" t="n">
        <v>14.23</v>
      </c>
      <c r="C54" t="n">
        <v>15</v>
      </c>
      <c r="D54" s="10" t="n">
        <v>0.65</v>
      </c>
      <c r="E54" t="n">
        <v>91</v>
      </c>
      <c r="F54" t="n">
        <v>100</v>
      </c>
      <c r="G54" t="inlineStr"/>
      <c r="H54" t="n">
        <v>16.9</v>
      </c>
      <c r="I54" s="11" t="n">
        <v>4253496.95</v>
      </c>
      <c r="J54" s="11" t="n">
        <v>51044152246078.38</v>
      </c>
      <c r="K54" t="n">
        <v>794</v>
      </c>
      <c r="L5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2026-10-19T04:34:58Z</dcterms:created>
  <dcterms:modified xmlns:dcterms="http://purl.org/dc/terms/" xmlns:xsi="http://www.w3.org/2001/XMLSchema-instance" xsi:type="dcterms:W3CDTF">2026-10-19T04:56:33Z</dcterms:modified>
</cp:coreProperties>
</file>